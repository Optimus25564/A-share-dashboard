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1ead90361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a5fa8785864731"/>
    <x:sheet xmlns:r="http://schemas.openxmlformats.org/officeDocument/2006/relationships" name="A-Share Detail" sheetId="2" r:id="R2d3823186014491b"/>
    <x:sheet xmlns:r="http://schemas.openxmlformats.org/officeDocument/2006/relationships" name="US Detail" sheetId="3" r:id="Ra532e807e8f14d5a"/>
    <x:sheet xmlns:r="http://schemas.openxmlformats.org/officeDocument/2006/relationships" name="Formula Notes" sheetId="4" r:id="R838c51917733453d"/>
    <x:sheet xmlns:r="http://schemas.openxmlformats.org/officeDocument/2006/relationships" name="Excluded" sheetId="5" r:id="R93d9826c9b72429e"/>
    <x:sheet xmlns:r="http://schemas.openxmlformats.org/officeDocument/2006/relationships" name="Raw Factor Inputs" sheetId="6" r:id="R95ef0b432da0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8">
    <x:font>
      <x:sz val="11"/>
      <x:name val="Carlito"/>
    </x:font>
    <x:font>
      <x:b/>
      <x:sz val="18"/>
      <x:color rgb="FF1F4E78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i/>
      <x:sz val="11"/>
      <x:color rgb="FF5B6B82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/>
    <x:xf numFmtId="0" fontId="7" fillId="0" xfId="0" applyNumberFormat="1" applyFont="1" applyFill="1" applyBorder="0"/>
    <x:xf numFmtId="200" fontId="7" fillId="0" xfId="0" applyNumberFormat="1" applyFont="1" applyFill="1" applyBorder="0"/>
    <x:xf numFmtId="0" fontId="7" fillId="0" xfId="0" applyNumberFormat="1" applyFont="1" applyFill="1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676c3021e4440" /><Relationship Type="http://schemas.openxmlformats.org/officeDocument/2006/relationships/theme" Target="/xl/theme/theme1.xml" Id="Rab9007306863426c" /><Relationship Type="http://schemas.openxmlformats.org/officeDocument/2006/relationships/sharedStrings" Target="/xl/sharedStrings.xml" Id="R04faf71fa5c94388" /><Relationship Type="http://schemas.openxmlformats.org/officeDocument/2006/relationships/worksheet" Target="/xl/worksheets/sheet1.xml" Id="R89a5fa8785864731" /><Relationship Type="http://schemas.openxmlformats.org/officeDocument/2006/relationships/worksheet" Target="/xl/worksheets/sheet2.xml" Id="R2d3823186014491b" /><Relationship Type="http://schemas.openxmlformats.org/officeDocument/2006/relationships/worksheet" Target="/xl/worksheets/sheet3.xml" Id="Ra532e807e8f14d5a" /><Relationship Type="http://schemas.openxmlformats.org/officeDocument/2006/relationships/worksheet" Target="/xl/worksheets/sheet4.xml" Id="R838c51917733453d" /><Relationship Type="http://schemas.openxmlformats.org/officeDocument/2006/relationships/worksheet" Target="/xl/worksheets/sheet5.xml" Id="R93d9826c9b72429e" /><Relationship Type="http://schemas.openxmlformats.org/officeDocument/2006/relationships/worksheet" Target="/xl/worksheets/sheet6.xml" Id="R95ef0b432da040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88999938964844" hidden="0" customWidth="1"/>
    <x:col min="2" max="2" width="73" hidden="0" customWidth="1"/>
    <x:col min="3" max="3" width="6.329999923706055" hidden="0" customWidth="1"/>
    <x:col min="4" max="4" width="20" hidden="0" customWidth="1"/>
    <x:col min="5" max="5" width="10.220000267028809" hidden="0" customWidth="1"/>
    <x:col min="6" max="6" width="15" hidden="0" customWidth="1"/>
    <x:col min="7" max="7" width="13.220000267028809" hidden="0" customWidth="1"/>
    <x:col min="8" max="8" width="14" hidden="0" customWidth="1"/>
  </x:cols>
  <x:sheetData>
    <x:row r="1">
      <x:c r="A1" s="1" t="str">
        <x:v>Factor Model Portfolio Summary</x:v>
      </x:c>
    </x:row>
    <x:row r="2">
      <x:c r="A2" t="str">
        <x:v>Generated 2026/6/9 09:18:32 HKT</x:v>
      </x:c>
    </x:row>
    <x:row r="4">
      <x:c r="A4" s="5" t="str">
        <x:v>Market</x:v>
      </x:c>
      <x:c r="B4" s="5" t="str">
        <x:v>Rank</x:v>
      </x:c>
      <x:c r="C4" s="5" t="str">
        <x:v>Code</x:v>
      </x:c>
      <x:c r="D4" s="5" t="str">
        <x:v>Name</x:v>
      </x:c>
      <x:c r="E4" s="5" t="str">
        <x:v>Sleeve</x:v>
      </x:c>
      <x:c r="F4" s="5" t="str">
        <x:v>Portfolio Weight %</x:v>
      </x:c>
      <x:c r="G4" s="5" t="str">
        <x:v>Model Weight %</x:v>
      </x:c>
      <x:c r="H4" s="5" t="str">
        <x:v>Composite Score</x:v>
      </x:c>
    </x:row>
    <x:row r="5">
      <x:c r="A5" s="6" t="str">
        <x:v>A-share</x:v>
      </x:c>
      <x:c r="B5" s="6" t="n">
        <x:v>1</x:v>
      </x:c>
      <x:c r="C5" s="6" t="str">
        <x:v>688256</x:v>
      </x:c>
      <x:c r="D5" s="6" t="str">
        <x:v>寒武纪</x:v>
      </x:c>
      <x:c r="E5" s="6" t="str">
        <x:v>Core 80%</x:v>
      </x:c>
      <x:c r="F5" s="7" t="n">
        <x:v>16</x:v>
      </x:c>
      <x:c r="G5" s="7" t="n">
        <x:v>11.093058418757982</x:v>
      </x:c>
      <x:c r="H5" s="7" t="n">
        <x:v>1.2840235794336006</x:v>
      </x:c>
    </x:row>
    <x:row r="6">
      <x:c r="A6" s="6" t="str">
        <x:v>A-share</x:v>
      </x:c>
      <x:c r="B6" s="6" t="n">
        <x:v>2</x:v>
      </x:c>
      <x:c r="C6" s="6" t="str">
        <x:v>300308</x:v>
      </x:c>
      <x:c r="D6" s="6" t="str">
        <x:v>中际旭创</x:v>
      </x:c>
      <x:c r="E6" s="6" t="str">
        <x:v>Core 80%</x:v>
      </x:c>
      <x:c r="F6" s="7" t="n">
        <x:v>16</x:v>
      </x:c>
      <x:c r="G6" s="7" t="n">
        <x:v>9.389316578167884</x:v>
      </x:c>
      <x:c r="H6" s="7" t="n">
        <x:v>0.9742026378688602</x:v>
      </x:c>
    </x:row>
    <x:row r="7">
      <x:c r="A7" s="6" t="str">
        <x:v>A-share</x:v>
      </x:c>
      <x:c r="B7" s="6" t="n">
        <x:v>3</x:v>
      </x:c>
      <x:c r="C7" s="6" t="str">
        <x:v>002463</x:v>
      </x:c>
      <x:c r="D7" s="6" t="str">
        <x:v>沪电股份</x:v>
      </x:c>
      <x:c r="E7" s="6" t="str">
        <x:v>Core 80%</x:v>
      </x:c>
      <x:c r="F7" s="7" t="n">
        <x:v>16</x:v>
      </x:c>
      <x:c r="G7" s="7" t="n">
        <x:v>7.900489113022964</x:v>
      </x:c>
      <x:c r="H7" s="7" t="n">
        <x:v>0.7034633063050577</x:v>
      </x:c>
    </x:row>
    <x:row r="8">
      <x:c r="A8" s="6" t="str">
        <x:v>A-share</x:v>
      </x:c>
      <x:c r="B8" s="6" t="n">
        <x:v>4</x:v>
      </x:c>
      <x:c r="C8" s="6" t="str">
        <x:v>688008</x:v>
      </x:c>
      <x:c r="D8" s="6" t="str">
        <x:v>澜起科技</x:v>
      </x:c>
      <x:c r="E8" s="6" t="str">
        <x:v>Core 80%</x:v>
      </x:c>
      <x:c r="F8" s="7" t="n">
        <x:v>16</x:v>
      </x:c>
      <x:c r="G8" s="7" t="n">
        <x:v>7.580697701769237</x:v>
      </x:c>
      <x:c r="H8" s="7" t="n">
        <x:v>0.6453100850960097</x:v>
      </x:c>
    </x:row>
    <x:row r="9">
      <x:c r="A9" s="6" t="str">
        <x:v>A-share</x:v>
      </x:c>
      <x:c r="B9" s="6" t="n">
        <x:v>5</x:v>
      </x:c>
      <x:c r="C9" s="6" t="str">
        <x:v>688981</x:v>
      </x:c>
      <x:c r="D9" s="6" t="str">
        <x:v>中芯国际</x:v>
      </x:c>
      <x:c r="E9" s="6" t="str">
        <x:v>Core 80%</x:v>
      </x:c>
      <x:c r="F9" s="7" t="n">
        <x:v>16</x:v>
      </x:c>
      <x:c r="G9" s="7" t="n">
        <x:v>6.800044808564232</x:v>
      </x:c>
      <x:c r="H9" s="7" t="n">
        <x:v>0.5033504239279516</x:v>
      </x:c>
    </x:row>
    <x:row r="10">
      <x:c r="A10" s="6" t="str">
        <x:v>A-share</x:v>
      </x:c>
      <x:c r="B10" s="6" t="n">
        <x:v>6</x:v>
      </x:c>
      <x:c r="C10" s="6" t="str">
        <x:v>688012</x:v>
      </x:c>
      <x:c r="D10" s="6" t="str">
        <x:v>中微公司</x:v>
      </x:c>
      <x:c r="E10" s="6" t="str">
        <x:v>Satellite 20%</x:v>
      </x:c>
      <x:c r="F10" s="7" t="n">
        <x:v>4</x:v>
      </x:c>
      <x:c r="G10" s="7" t="n">
        <x:v>6.184476886611568</x:v>
      </x:c>
      <x:c r="H10" s="7" t="n">
        <x:v>0.391411027575292</x:v>
      </x:c>
    </x:row>
    <x:row r="11">
      <x:c r="A11" s="6" t="str">
        <x:v>A-share</x:v>
      </x:c>
      <x:c r="B11" s="6" t="n">
        <x:v>7</x:v>
      </x:c>
      <x:c r="C11" s="6" t="str">
        <x:v>688120</x:v>
      </x:c>
      <x:c r="D11" s="6" t="str">
        <x:v>华海清科</x:v>
      </x:c>
      <x:c r="E11" s="6" t="str">
        <x:v>Satellite 20%</x:v>
      </x:c>
      <x:c r="F11" s="7" t="n">
        <x:v>4</x:v>
      </x:c>
      <x:c r="G11" s="7" t="n">
        <x:v>6.090064279291859</x:v>
      </x:c>
      <x:c r="H11" s="7" t="n">
        <x:v>0.3742423449741515</x:v>
      </x:c>
    </x:row>
    <x:row r="12">
      <x:c r="A12" s="6" t="str">
        <x:v>A-share</x:v>
      </x:c>
      <x:c r="B12" s="6" t="n">
        <x:v>8</x:v>
      </x:c>
      <x:c r="C12" s="6" t="str">
        <x:v>688347</x:v>
      </x:c>
      <x:c r="D12" s="6" t="str">
        <x:v>华虹公司</x:v>
      </x:c>
      <x:c r="E12" s="6" t="str">
        <x:v>Satellite 20%</x:v>
      </x:c>
      <x:c r="F12" s="7" t="n">
        <x:v>4</x:v>
      </x:c>
      <x:c r="G12" s="7" t="n">
        <x:v>5.607532952223517</x:v>
      </x:c>
      <x:c r="H12" s="7" t="n">
        <x:v>0.28649530107047055</x:v>
      </x:c>
    </x:row>
    <x:row r="13">
      <x:c r="A13" s="6" t="str">
        <x:v>A-share</x:v>
      </x:c>
      <x:c r="B13" s="6" t="n">
        <x:v>9</x:v>
      </x:c>
      <x:c r="C13" s="6" t="str">
        <x:v>601138</x:v>
      </x:c>
      <x:c r="D13" s="6" t="str">
        <x:v>工业富联</x:v>
      </x:c>
      <x:c r="E13" s="6" t="str">
        <x:v>Satellite 20%</x:v>
      </x:c>
      <x:c r="F13" s="7" t="n">
        <x:v>4</x:v>
      </x:c>
      <x:c r="G13" s="7" t="n">
        <x:v>5.4184138652369676</x:v>
      </x:c>
      <x:c r="H13" s="7" t="n">
        <x:v>0.2521044959601476</x:v>
      </x:c>
    </x:row>
    <x:row r="14">
      <x:c r="A14" s="6" t="str">
        <x:v>A-share</x:v>
      </x:c>
      <x:c r="B14" s="6" t="n">
        <x:v>10</x:v>
      </x:c>
      <x:c r="C14" s="6" t="str">
        <x:v>000034</x:v>
      </x:c>
      <x:c r="D14" s="6" t="str">
        <x:v>神州数码</x:v>
      </x:c>
      <x:c r="E14" s="6" t="str">
        <x:v>Satellite 20%</x:v>
      </x:c>
      <x:c r="F14" s="7" t="n">
        <x:v>4</x:v>
      </x:c>
      <x:c r="G14" s="7" t="n">
        <x:v>5.201570506677414</x:v>
      </x:c>
      <x:c r="H14" s="7" t="n">
        <x:v>0.21267210548852974</x:v>
      </x:c>
    </x:row>
    <x:row r="15">
      <x:c r="A15" s="6" t="str">
        <x:v>US</x:v>
      </x:c>
      <x:c r="B15" s="6" t="n">
        <x:v>1</x:v>
      </x:c>
      <x:c r="C15" s="6" t="str">
        <x:v>NVDA</x:v>
      </x:c>
      <x:c r="D15" s="6" t="str">
        <x:v>Nvidia</x:v>
      </x:c>
      <x:c r="E15" s="6" t="str">
        <x:v>Core 80%</x:v>
      </x:c>
      <x:c r="F15" s="7" t="n">
        <x:v>16</x:v>
      </x:c>
      <x:c r="G15" s="7" t="n">
        <x:v>2.9273769611143594</x:v>
      </x:c>
      <x:c r="H15" s="7" t="n">
        <x:v>1.1830571212795666</x:v>
      </x:c>
    </x:row>
    <x:row r="16">
      <x:c r="A16" s="6" t="str">
        <x:v>US</x:v>
      </x:c>
      <x:c r="B16" s="6" t="n">
        <x:v>2</x:v>
      </x:c>
      <x:c r="C16" s="6" t="str">
        <x:v>PLTR</x:v>
      </x:c>
      <x:c r="D16" s="6" t="str">
        <x:v>Palantir</x:v>
      </x:c>
      <x:c r="E16" s="6" t="str">
        <x:v>Core 80%</x:v>
      </x:c>
      <x:c r="F16" s="7" t="n">
        <x:v>16</x:v>
      </x:c>
      <x:c r="G16" s="7" t="n">
        <x:v>2.627998546881316</x:v>
      </x:c>
      <x:c r="H16" s="7" t="n">
        <x:v>0.9848642369606715</x:v>
      </x:c>
    </x:row>
    <x:row r="17">
      <x:c r="A17" s="6" t="str">
        <x:v>US</x:v>
      </x:c>
      <x:c r="B17" s="6" t="n">
        <x:v>3</x:v>
      </x:c>
      <x:c r="C17" s="6" t="str">
        <x:v>META</x:v>
      </x:c>
      <x:c r="D17" s="6" t="str">
        <x:v>Meta Platforms</x:v>
      </x:c>
      <x:c r="E17" s="6" t="str">
        <x:v>Core 80%</x:v>
      </x:c>
      <x:c r="F17" s="7" t="n">
        <x:v>16</x:v>
      </x:c>
      <x:c r="G17" s="7" t="n">
        <x:v>2.545695133389991</x:v>
      </x:c>
      <x:c r="H17" s="7" t="n">
        <x:v>0.9303781747276113</x:v>
      </x:c>
    </x:row>
    <x:row r="18">
      <x:c r="A18" s="6" t="str">
        <x:v>US</x:v>
      </x:c>
      <x:c r="B18" s="6" t="n">
        <x:v>4</x:v>
      </x:c>
      <x:c r="C18" s="6" t="str">
        <x:v>AVGO</x:v>
      </x:c>
      <x:c r="D18" s="6" t="str">
        <x:v>Broadcom</x:v>
      </x:c>
      <x:c r="E18" s="6" t="str">
        <x:v>Core 80%</x:v>
      </x:c>
      <x:c r="F18" s="7" t="n">
        <x:v>16</x:v>
      </x:c>
      <x:c r="G18" s="7" t="n">
        <x:v>2.5176901187520904</x:v>
      </x:c>
      <x:c r="H18" s="7" t="n">
        <x:v>0.9118384458674076</x:v>
      </x:c>
    </x:row>
    <x:row r="19">
      <x:c r="A19" s="6" t="str">
        <x:v>US</x:v>
      </x:c>
      <x:c r="B19" s="6" t="n">
        <x:v>5</x:v>
      </x:c>
      <x:c r="C19" s="6" t="str">
        <x:v>MSFT</x:v>
      </x:c>
      <x:c r="D19" s="6" t="str">
        <x:v>Microsoft</x:v>
      </x:c>
      <x:c r="E19" s="6" t="str">
        <x:v>Core 80%</x:v>
      </x:c>
      <x:c r="F19" s="7" t="n">
        <x:v>16</x:v>
      </x:c>
      <x:c r="G19" s="7" t="n">
        <x:v>2.4494233427698893</x:v>
      </x:c>
      <x:c r="H19" s="7" t="n">
        <x:v>0.866644842749007</x:v>
      </x:c>
    </x:row>
    <x:row r="20">
      <x:c r="A20" s="6" t="str">
        <x:v>US</x:v>
      </x:c>
      <x:c r="B20" s="6" t="n">
        <x:v>6</x:v>
      </x:c>
      <x:c r="C20" s="6" t="str">
        <x:v>APP</x:v>
      </x:c>
      <x:c r="D20" s="6" t="str">
        <x:v>AppLovin</x:v>
      </x:c>
      <x:c r="E20" s="6" t="str">
        <x:v>Satellite 20%</x:v>
      </x:c>
      <x:c r="F20" s="7" t="n">
        <x:v>4</x:v>
      </x:c>
      <x:c r="G20" s="7" t="n">
        <x:v>2.447456874681593</x:v>
      </x:c>
      <x:c r="H20" s="7" t="n">
        <x:v>0.8653430121432867</x:v>
      </x:c>
    </x:row>
    <x:row r="21">
      <x:c r="A21" s="6" t="str">
        <x:v>US</x:v>
      </x:c>
      <x:c r="B21" s="6" t="n">
        <x:v>7</x:v>
      </x:c>
      <x:c r="C21" s="6" t="str">
        <x:v>TSM</x:v>
      </x:c>
      <x:c r="D21" s="6" t="str">
        <x:v>TSMC</x:v>
      </x:c>
      <x:c r="E21" s="6" t="str">
        <x:v>Satellite 20%</x:v>
      </x:c>
      <x:c r="F21" s="7" t="n">
        <x:v>4</x:v>
      </x:c>
      <x:c r="G21" s="7" t="n">
        <x:v>2.327883560313094</x:v>
      </x:c>
      <x:c r="H21" s="7" t="n">
        <x:v>0.7861837309941282</x:v>
      </x:c>
    </x:row>
    <x:row r="22">
      <x:c r="A22" s="6" t="str">
        <x:v>US</x:v>
      </x:c>
      <x:c r="B22" s="6" t="n">
        <x:v>8</x:v>
      </x:c>
      <x:c r="C22" s="6" t="str">
        <x:v>MRVL</x:v>
      </x:c>
      <x:c r="D22" s="6" t="str">
        <x:v>Marvell</x:v>
      </x:c>
      <x:c r="E22" s="6" t="str">
        <x:v>Satellite 20%</x:v>
      </x:c>
      <x:c r="F22" s="7" t="n">
        <x:v>4</x:v>
      </x:c>
      <x:c r="G22" s="7" t="n">
        <x:v>2.3123392612421823</x:v>
      </x:c>
      <x:c r="H22" s="7" t="n">
        <x:v>0.7758931778977334</x:v>
      </x:c>
    </x:row>
    <x:row r="23">
      <x:c r="A23" s="6" t="str">
        <x:v>US</x:v>
      </x:c>
      <x:c r="B23" s="6" t="n">
        <x:v>9</x:v>
      </x:c>
      <x:c r="C23" s="6" t="str">
        <x:v>GOOGL</x:v>
      </x:c>
      <x:c r="D23" s="6" t="str">
        <x:v>Alphabet</x:v>
      </x:c>
      <x:c r="E23" s="6" t="str">
        <x:v>Satellite 20%</x:v>
      </x:c>
      <x:c r="F23" s="7" t="n">
        <x:v>4</x:v>
      </x:c>
      <x:c r="G23" s="7" t="n">
        <x:v>2.3097416537039535</x:v>
      </x:c>
      <x:c r="H23" s="7" t="n">
        <x:v>0.7741735237548355</x:v>
      </x:c>
    </x:row>
    <x:row r="24">
      <x:c r="A24" s="6" t="str">
        <x:v>US</x:v>
      </x:c>
      <x:c r="B24" s="6" t="n">
        <x:v>10</x:v>
      </x:c>
      <x:c r="C24" s="6" t="str">
        <x:v>AAPL</x:v>
      </x:c>
      <x:c r="D24" s="6" t="str">
        <x:v>Apple</x:v>
      </x:c>
      <x:c r="E24" s="6" t="str">
        <x:v>Satellite 20%</x:v>
      </x:c>
      <x:c r="F24" s="7" t="n">
        <x:v>4</x:v>
      </x:c>
      <x:c r="G24" s="7" t="n">
        <x:v>2.2105602278937866</x:v>
      </x:c>
      <x:c r="H24" s="7" t="n">
        <x:v>0.7085139707689082</x:v>
      </x:c>
    </x:row>
    <x:row r="27">
      <x:c r="A27" s="9" t="str">
        <x:v>Interpretation</x:v>
      </x:c>
    </x:row>
    <x:row r="28">
      <x:c r="A28" s="10" t="str">
        <x:v>Core 80%</x:v>
      </x:c>
      <x:c r="B28" s="10" t="str">
        <x:v>Top 5 names, equal 16% each inside this review workbook.</x:v>
      </x:c>
    </x:row>
    <x:row r="29">
      <x:c r="A29" s="10" t="str">
        <x:v>Satellite 20%</x:v>
      </x:c>
      <x:c r="B29" s="10" t="str">
        <x:v>Ranks 6-10, equal 4% each. Trend rules still decide add/hold/trim.</x:v>
      </x:c>
    </x:row>
    <x:row r="30">
      <x:c r="A30" s="10" t="str">
        <x:v>Model Weight %</x:v>
      </x:c>
      <x:c r="B30" s="10" t="str">
        <x:v>Normalized model weight from composite score. Portfolio Weight % uses the 5-core/5-satellite rule.</x:v>
      </x:c>
    </x:row>
    <x:row r="31">
      <x:c r="A31" s="10" t="str">
        <x:v>Excluded</x:v>
      </x:c>
      <x:c r="B31" s="10" t="str">
        <x:v>ETF/watch-only names and rows without 5 complete quarters are shown in the Excluded sheet.</x:v>
      </x:c>
    </x:row>
  </x:sheetData>
  <x:mergeCells>
    <x:mergeCell ref="A1:H1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7.559999942779541" hidden="0" customWidth="1"/>
    <x:col min="3" max="3" width="16.670000076293945" hidden="0" customWidth="1"/>
    <x:col min="4" max="4" width="8.779999732971191" hidden="0" customWidth="1"/>
    <x:col min="5" max="5" width="12.779999732971191" hidden="0" customWidth="1"/>
    <x:col min="6" max="6" width="15" hidden="0" customWidth="1"/>
    <x:col min="7" max="7" width="13.220000267028809" hidden="0" customWidth="1"/>
    <x:col min="8" max="8" width="14" hidden="0" customWidth="1"/>
    <x:col min="9" max="9" width="10.890000343322754" hidden="0" customWidth="1"/>
    <x:col min="10" max="10" width="12.4399995803833" hidden="0" customWidth="1"/>
    <x:col min="11" max="11" width="11" hidden="0" customWidth="1"/>
    <x:col min="12" max="12" width="14.109999656677246" hidden="0" customWidth="1"/>
    <x:col min="13" max="13" width="10.109999656677246" hidden="0" customWidth="1"/>
    <x:col min="14" max="14" width="10.4399995803833" hidden="0" customWidth="1"/>
    <x:col min="15" max="15" width="12.779999732971191" hidden="0" customWidth="1"/>
    <x:col min="16" max="16" width="19.440000534057617" hidden="0" customWidth="1"/>
    <x:col min="17" max="17" width="12.220000267028809" hidden="0" customWidth="1"/>
    <x:col min="18" max="18" width="10.890000343322754" hidden="0" customWidth="1"/>
    <x:col min="19" max="19" width="13.220000267028809" hidden="0" customWidth="1"/>
    <x:col min="20" max="20" width="10.5600004196167" hidden="0" customWidth="1"/>
    <x:col min="21" max="21" width="10.5600004196167" hidden="0" customWidth="1"/>
    <x:col min="22" max="22" width="11.670000076293945" hidden="0" customWidth="1"/>
    <x:col min="23" max="23" width="4.78000020980835" hidden="0" customWidth="1"/>
    <x:col min="24" max="24" width="4.670000076293945" hidden="0" customWidth="1"/>
    <x:col min="25" max="25" width="11.779999732971191" hidden="0" customWidth="1"/>
    <x:col min="26" max="26" width="9.5600004196167" hidden="0" customWidth="1"/>
    <x:col min="27" max="27" width="7.110000133514404" hidden="0" customWidth="1"/>
    <x:col min="28" max="28" width="11.5600004196167" hidden="0" customWidth="1"/>
    <x:col min="29" max="29" width="11.109999656677246" hidden="0" customWidth="1"/>
    <x:col min="30" max="30" width="11.779999732971191" hidden="0" customWidth="1"/>
    <x:col min="31" max="31" width="9.4399995803833" hidden="0" customWidth="1"/>
    <x:col min="32" max="32" width="9.4399995803833" hidden="0" customWidth="1"/>
    <x:col min="33" max="33" width="12.329999923706055" hidden="0" customWidth="1"/>
    <x:col min="34" max="34" width="11.109999656677246" hidden="0" customWidth="1"/>
    <x:col min="35" max="35" width="7.78000020980835" hidden="0" customWidth="1"/>
    <x:col min="36" max="36" width="5.440000057220459" hidden="0" customWidth="1"/>
    <x:col min="37" max="37" width="11.779999732971191" hidden="0" customWidth="1"/>
    <x:col min="38" max="38" width="10.779999732971191" hidden="0" customWidth="1"/>
    <x:col min="39" max="39" width="26.670000076293945" hidden="0" customWidth="1"/>
    <x:col min="40" max="40" width="26.670000076293945" hidden="0" customWidth="1"/>
    <x:col min="41" max="41" width="26.670000076293945" hidden="0" customWidth="1"/>
    <x:col min="42" max="42" width="26.670000076293945" hidden="0" customWidth="1"/>
  </x:cols>
  <x:sheetData>
    <x:row r="1">
      <x:c r="A1" s="11" t="str">
        <x:v>A-Share Detail - Factor Calculation Detail</x:v>
      </x:c>
    </x:row>
    <x:row r="2">
      <x:c r="A2" s="12" t="str">
        <x:v>Weights</x:v>
      </x:c>
      <x:c r="B2" s="12" t="str">
        <x:v>Strategic</x:v>
      </x:c>
      <x:c r="C2" s="12" t="n">
        <x:v>0.22</x:v>
      </x:c>
      <x:c r="D2" s="12" t="str">
        <x:v>Growth</x:v>
      </x:c>
      <x:c r="E2" s="12" t="n">
        <x:v>0.2</x:v>
      </x:c>
      <x:c r="F2" s="12" t="str">
        <x:v>Profit</x:v>
      </x:c>
      <x:c r="G2" s="12" t="n">
        <x:v>0.2</x:v>
      </x:c>
      <x:c r="H2" s="12" t="str">
        <x:v>Durability</x:v>
      </x:c>
      <x:c r="I2" s="12" t="n">
        <x:v>0.18</x:v>
      </x:c>
      <x:c r="J2" s="12" t="str">
        <x:v>Risk</x:v>
      </x:c>
      <x:c r="K2" s="12" t="n">
        <x:v>0.2</x:v>
      </x:c>
    </x:row>
    <x:row r="4">
      <x:c r="A4" s="5" t="str">
        <x:v>Rank</x:v>
      </x:c>
      <x:c r="B4" s="5" t="str">
        <x:v>Code</x:v>
      </x:c>
      <x:c r="C4" s="5" t="str">
        <x:v>Name</x:v>
      </x:c>
      <x:c r="D4" s="5" t="str">
        <x:v>Category</x:v>
      </x:c>
      <x:c r="E4" s="5" t="str">
        <x:v>Portfolio Sleeve</x:v>
      </x:c>
      <x:c r="F4" s="5" t="str">
        <x:v>Portfolio Weight %</x:v>
      </x:c>
      <x:c r="G4" s="5" t="str">
        <x:v>Model Weight %</x:v>
      </x:c>
      <x:c r="H4" s="5" t="str">
        <x:v>Composite Score</x:v>
      </x:c>
      <x:c r="I4" s="5" t="str">
        <x:v>Topic Contrib</x:v>
      </x:c>
      <x:c r="J4" s="5" t="str">
        <x:v>Growth Contrib</x:v>
      </x:c>
      <x:c r="K4" s="5" t="str">
        <x:v>Profit Contrib</x:v>
      </x:c>
      <x:c r="L4" s="5" t="str">
        <x:v>Durability Contrib</x:v>
      </x:c>
      <x:c r="M4" s="5" t="str">
        <x:v>Risk Contrib</x:v>
      </x:c>
      <x:c r="N4" s="5" t="str">
        <x:v>Strategic /10</x:v>
      </x:c>
      <x:c r="O4" s="5" t="str">
        <x:v>Revenue YoY %</x:v>
      </x:c>
      <x:c r="P4" s="5" t="str">
        <x:v>Growth Momentum Raw</x:v>
      </x:c>
      <x:c r="Q4" s="5" t="str">
        <x:v>Revenue YoY Z</x:v>
      </x:c>
      <x:c r="R4" s="5" t="str">
        <x:v>Momentum Z</x:v>
      </x:c>
      <x:c r="S4" s="5" t="str">
        <x:v>Growth Factor Z</x:v>
      </x:c>
      <x:c r="T4" s="5" t="str">
        <x:v>Latest GM %</x:v>
      </x:c>
      <x:c r="U4" s="5" t="str">
        <x:v>Latest NM %</x:v>
      </x:c>
      <x:c r="V4" s="5" t="str">
        <x:v>NM Clipped %</x:v>
      </x:c>
      <x:c r="W4" s="5" t="str">
        <x:v>GM Z</x:v>
      </x:c>
      <x:c r="X4" s="5" t="str">
        <x:v>NM Z</x:v>
      </x:c>
      <x:c r="Y4" s="5" t="str">
        <x:v>Profit Factor Z</x:v>
      </x:c>
      <x:c r="Z4" s="5" t="str">
        <x:v>Market Cap</x:v>
      </x:c>
      <x:c r="AA4" s="5" t="str">
        <x:v>FCF ($B)</x:v>
      </x:c>
      <x:c r="AB4" s="5" t="str">
        <x:v>FCF Margin %</x:v>
      </x:c>
      <x:c r="AC4" s="5" t="str">
        <x:v>Net Cash ($B)</x:v>
      </x:c>
      <x:c r="AD4" s="5" t="str">
        <x:v>Durability Raw</x:v>
      </x:c>
      <x:c r="AE4" s="5" t="str">
        <x:v>Durability Z</x:v>
      </x:c>
      <x:c r="AF4" s="5" t="str">
        <x:v>Turnover %</x:v>
      </x:c>
      <x:c r="AG4" s="5" t="str">
        <x:v>Turnover Score</x:v>
      </x:c>
      <x:c r="AH4" s="5" t="str">
        <x:v>Cycle Penalty</x:v>
      </x:c>
      <x:c r="AI4" s="5" t="str">
        <x:v>Risk Raw</x:v>
      </x:c>
      <x:c r="AJ4" s="5" t="str">
        <x:v>Risk Z</x:v>
      </x:c>
      <x:c r="AK4" s="5" t="str">
        <x:v>Latest Quarter</x:v>
      </x:c>
      <x:c r="AL4" s="5" t="str">
        <x:v>Forecast Rev</x:v>
      </x:c>
      <x:c r="AM4" s="5" t="str">
        <x:v>Forecast Used</x:v>
      </x:c>
      <x:c r="AN4" s="5" t="str">
        <x:v>Momentum Label</x:v>
      </x:c>
      <x:c r="AO4" s="5" t="str">
        <x:v>Latest Source URL</x:v>
      </x:c>
      <x:c r="AP4" s="5" t="str">
        <x:v>Latest Source Note</x:v>
      </x:c>
    </x:row>
    <x:row r="5">
      <x:c r="A5" s="13" t="n">
        <x:v>1</x:v>
      </x:c>
      <x:c r="B5" s="13" t="str">
        <x:v>688256</x:v>
      </x:c>
      <x:c r="C5" s="13" t="str">
        <x:v>寒武纪</x:v>
      </x:c>
      <x:c r="D5" s="13" t="str">
        <x:v>核心芯片</x:v>
      </x:c>
      <x:c r="E5" s="13" t="str">
        <x:v>Core 80%</x:v>
      </x:c>
      <x:c r="F5" s="13" t="n">
        <x:v>16</x:v>
      </x:c>
      <x:c r="G5" s="14" t="n">
        <x:f>IFERROR((H5-MIN($H$5:$H$21)+0.5)/(SUM($H$5:$H$21)-COUNT($H$5:$H$21)*MIN($H$5:$H$21)+0.5*COUNT($H$5:$H$21))*100,"")</x:f>
        <x:v>11.201851175173477</x:v>
      </x:c>
      <x:c r="H5" s="14" t="n">
        <x:f>$C$2*2*(N5/10)+$E$2*S5+$G$2*Y5+$I$2*AE5+$K$2*AJ5</x:f>
        <x:v>1.2584870094905083</x:v>
      </x:c>
      <x:c r="I5" s="14" t="n">
        <x:f>$C$2*2*(N5/10)</x:f>
        <x:v>0.44</x:v>
      </x:c>
      <x:c r="J5" s="14" t="n">
        <x:f>$E$2*S5</x:f>
        <x:v>0.3484931636539148</x:v>
      </x:c>
      <x:c r="K5" s="14" t="n">
        <x:f>$G$2*Y5</x:f>
        <x:v>0.2543104339975509</x:v>
      </x:c>
      <x:c r="L5" s="14" t="n">
        <x:f>$I$2*AE5</x:f>
        <x:v>0.21568341183904274</x:v>
      </x:c>
      <x:c r="M5" s="14" t="n">
        <x:f>$K$2*AJ5</x:f>
        <x:v>0</x:v>
      </x:c>
      <x:c r="N5" s="15" t="n">
        <x:v>10</x:v>
      </x:c>
      <x:c r="O5" s="15" t="n">
        <x:v>160.12601260126013</x:v>
      </x:c>
      <x:c r="P5" s="15" t="n">
        <x:v>2.551281617919045</x:v>
      </x:c>
      <x:c r="Q5" s="14" t="n">
        <x:f>IFERROR((O5-AVERAGE($O$5:$O$21))/STDEV.P($O$5:$O$21),0)</x:f>
        <x:v>2.210111019019878</x:v>
      </x:c>
      <x:c r="R5" s="14" t="n">
        <x:f>IFERROR((P5-AVERAGE($P$5:$P$21))/STDEV.P($P$5:$P$21),0)</x:f>
        <x:v>0.8739818740190091</x:v>
      </x:c>
      <x:c r="S5" s="14" t="n">
        <x:f>0.65*Q5+0.35*R5</x:f>
        <x:v>1.742465818269574</x:v>
      </x:c>
      <x:c r="T5" s="15" t="n">
        <x:v>54.3</x:v>
      </x:c>
      <x:c r="U5" s="15" t="n">
        <x:v>35.1</x:v>
      </x:c>
      <x:c r="V5" s="15" t="n">
        <x:v>35.1</x:v>
      </x:c>
      <x:c r="W5" s="14" t="n">
        <x:f>IFERROR((T5-AVERAGE($T$5:$T$21))/STDEV.P($T$5:$T$21),0)</x:f>
        <x:v>1.2986549446730569</x:v>
      </x:c>
      <x:c r="X5" s="14" t="n">
        <x:f>IFERROR((V5-AVERAGE($V$5:$V$21))/STDEV.P($V$5:$V$21),0)</x:f>
        <x:v>1.2308980079598006</x:v>
      </x:c>
      <x:c r="Y5" s="14" t="n">
        <x:f>0.6*W5+0.4*X5</x:f>
        <x:v>1.2715521699877543</x:v>
      </x:c>
      <x:c r="Z5" s="15" t="n">
        <x:v>7100</x:v>
      </x:c>
      <x:c r="AA5" s="15"/>
      <x:c r="AB5" s="15"/>
      <x:c r="AC5" s="15"/>
      <x:c r="AD5" s="14" t="n">
        <x:v>8.867850063029406</x:v>
      </x:c>
      <x:c r="AE5" s="14" t="n">
        <x:f>IFERROR((AD5-AVERAGE($AD$5:$AD$21))/STDEV.P($AD$5:$AD$21),0)</x:f>
        <x:v>1.1982411768835708</x:v>
      </x:c>
      <x:c r="AF5" s="14" t="n">
        <x:f>-AH5+0.2*AG5</x:f>
        <x:v>-0.5963041929192919</x:v>
      </x:c>
      <x:c r="AG5" s="14" t="n">
        <x:f>IFERROR((AI5-AVERAGE($AI$5:$AI$21))/STDEV.P($AI$5:$AI$21),0)</x:f>
        <x:v>0</x:v>
      </x:c>
      <x:c r="AH5" s="14" t="n">
        <x:v>0.5963041929192919</x:v>
      </x:c>
      <x:c r="AI5" s="14"/>
      <x:c r="AJ5" s="14"/>
      <x:c r="AK5" s="13" t="str">
        <x:v>2026Q1</x:v>
      </x:c>
      <x:c r="AL5" s="13"/>
      <x:c r="AM5" s="13" t="str">
        <x:v>No</x:v>
      </x:c>
      <x:c r="AN5" s="10" t="str">
        <x:v>历史加速 2.6ppt / 无forecast不扣分</x:v>
      </x:c>
      <x:c r="AO5" s="10" t="str">
        <x:v>https://finance.sina.com.cn/tech/roll/2026-05-01/doc-inhwktzf6603604.shtml</x:v>
      </x:c>
      <x:c r="AP5" s="10" t="str"/>
    </x:row>
    <x:row r="6">
      <x:c r="A6" s="13" t="n">
        <x:v>2</x:v>
      </x:c>
      <x:c r="B6" s="13" t="str">
        <x:v>300308</x:v>
      </x:c>
      <x:c r="C6" s="13" t="str">
        <x:v>中际旭创</x:v>
      </x:c>
      <x:c r="D6" s="13" t="str">
        <x:v>光模块</x:v>
      </x:c>
      <x:c r="E6" s="13" t="str">
        <x:v>Core 80%</x:v>
      </x:c>
      <x:c r="F6" s="13" t="n">
        <x:v>16</x:v>
      </x:c>
      <x:c r="G6" s="14" t="n">
        <x:f>IFERROR((H6-MIN($H$5:$H$21)+0.5)/(SUM($H$5:$H$21)-COUNT($H$5:$H$21)*MIN($H$5:$H$21)+0.5*COUNT($H$5:$H$21))*100,"")</x:f>
        <x:v>11.244606539783875</x:v>
      </x:c>
      <x:c r="H6" s="14" t="n">
        <x:f>$C$2*2*(N6/10)+$E$2*S6+$G$2*Y6+$I$2*AE6+$K$2*AJ6</x:f>
        <x:v>1.2658976987197292</x:v>
      </x:c>
      <x:c r="I6" s="14" t="n">
        <x:f>$C$2*2*(N6/10)</x:f>
        <x:v>0.308</x:v>
      </x:c>
      <x:c r="J6" s="14" t="n">
        <x:f>$E$2*S6</x:f>
        <x:v>0.4817052146625317</x:v>
      </x:c>
      <x:c r="K6" s="14" t="n">
        <x:f>$G$2*Y6</x:f>
        <x:v>0.186138332409058</x:v>
      </x:c>
      <x:c r="L6" s="14" t="n">
        <x:f>$I$2*AE6</x:f>
        <x:v>0.2900541516481396</x:v>
      </x:c>
      <x:c r="M6" s="14" t="n">
        <x:f>$K$2*AJ6</x:f>
        <x:v>0</x:v>
      </x:c>
      <x:c r="N6" s="15" t="n">
        <x:v>7</x:v>
      </x:c>
      <x:c r="O6" s="15" t="n">
        <x:v>192.1786035361103</x:v>
      </x:c>
      <x:c r="P6" s="15" t="n">
        <x:v>14.65131636921695</x:v>
      </x:c>
      <x:c r="Q6" s="14" t="n">
        <x:f>IFERROR((O6-AVERAGE($O$5:$O$21))/STDEV.P($O$5:$O$21),0)</x:f>
        <x:v>2.833679612095547</x:v>
      </x:c>
      <x:c r="R6" s="14" t="n">
        <x:f>IFERROR((P6-AVERAGE($P$5:$P$21))/STDEV.P($P$5:$P$21),0)</x:f>
        <x:v>1.6189552155730071</x:v>
      </x:c>
      <x:c r="S6" s="14" t="n">
        <x:f>0.65*Q6+0.35*R6</x:f>
        <x:v>2.4085260733126583</x:v>
      </x:c>
      <x:c r="T6" s="15" t="n">
        <x:v>46.1</x:v>
      </x:c>
      <x:c r="U6" s="15" t="n">
        <x:v>32.4</x:v>
      </x:c>
      <x:c r="V6" s="15" t="n">
        <x:v>32.4</x:v>
      </x:c>
      <x:c r="W6" s="14" t="n">
        <x:f>IFERROR((T6-AVERAGE($T$5:$T$21))/STDEV.P($T$5:$T$21),0)</x:f>
        <x:v>0.8480787604741818</x:v>
      </x:c>
      <x:c r="X6" s="14" t="n">
        <x:f>IFERROR((V6-AVERAGE($V$5:$V$21))/STDEV.P($V$5:$V$21),0)</x:f>
        <x:v>1.054611014401952</x:v>
      </x:c>
      <x:c r="Y6" s="14" t="n">
        <x:f>0.6*W6+0.4*X6</x:f>
        <x:v>0.93069166204529</x:v>
      </x:c>
      <x:c r="Z6" s="15" t="n">
        <x:v>12000</x:v>
      </x:c>
      <x:c r="AA6" s="15"/>
      <x:c r="AB6" s="15"/>
      <x:c r="AC6" s="15"/>
      <x:c r="AD6" s="14" t="n">
        <x:v>9.392661928770137</x:v>
      </x:c>
      <x:c r="AE6" s="14" t="n">
        <x:f>IFERROR((AD6-AVERAGE($AD$5:$AD$21))/STDEV.P($AD$5:$AD$21),0)</x:f>
        <x:v>1.6114119536007754</x:v>
      </x:c>
      <x:c r="AF6" s="14" t="n">
        <x:f>-AH6+0.2*AG6</x:f>
        <x:v>-0.8981786784537011</x:v>
      </x:c>
      <x:c r="AG6" s="14" t="n">
        <x:f>IFERROR((AI6-AVERAGE($AI$5:$AI$21))/STDEV.P($AI$5:$AI$21),0)</x:f>
        <x:v>0</x:v>
      </x:c>
      <x:c r="AH6" s="14" t="n">
        <x:v>0.8981786784537011</x:v>
      </x:c>
      <x:c r="AI6" s="14"/>
      <x:c r="AJ6" s="14"/>
      <x:c r="AK6" s="13" t="str">
        <x:v>2026Q1</x:v>
      </x:c>
      <x:c r="AL6" s="13"/>
      <x:c r="AM6" s="13" t="str">
        <x:v>No</x:v>
      </x:c>
      <x:c r="AN6" s="10" t="str">
        <x:v>历史加速 14.7ppt / 无forecast不扣分</x:v>
      </x:c>
      <x:c r="AO6" s="10" t="str">
        <x:v>https://stock.stockstar.com/RB2026041800008790.shtml</x:v>
      </x:c>
      <x:c r="AP6" s="10" t="str"/>
    </x:row>
    <x:row r="7">
      <x:c r="A7" s="13" t="n">
        <x:v>3</x:v>
      </x:c>
      <x:c r="B7" s="13" t="str">
        <x:v>002463</x:v>
      </x:c>
      <x:c r="C7" s="13" t="str">
        <x:v>沪电股份</x:v>
      </x:c>
      <x:c r="D7" s="13" t="str">
        <x:v>AI PCB</x:v>
      </x:c>
      <x:c r="E7" s="13" t="str">
        <x:v>Core 80%</x:v>
      </x:c>
      <x:c r="F7" s="13" t="n">
        <x:v>16</x:v>
      </x:c>
      <x:c r="G7" s="14" t="n">
        <x:f>IFERROR((H7-MIN($H$5:$H$21)+0.5)/(SUM($H$5:$H$21)-COUNT($H$5:$H$21)*MIN($H$5:$H$21)+0.5*COUNT($H$5:$H$21))*100,"")</x:f>
        <x:v>6.914197881590227</x:v>
      </x:c>
      <x:c r="H7" s="14" t="n">
        <x:f>$C$2*2*(N7/10)+$E$2*S7+$G$2*Y7+$I$2*AE7+$K$2*AJ7</x:f>
        <x:v>0.515317903790419</x:v>
      </x:c>
      <x:c r="I7" s="14" t="n">
        <x:f>$C$2*2*(N7/10)</x:f>
        <x:v>0.35200000000000004</x:v>
      </x:c>
      <x:c r="J7" s="14" t="n">
        <x:f>$E$2*S7</x:f>
        <x:v>0.06803111538205878</x:v>
      </x:c>
      <x:c r="K7" s="14" t="n">
        <x:f>$G$2*Y7</x:f>
        <x:v>0.052227655630078695</x:v>
      </x:c>
      <x:c r="L7" s="14" t="n">
        <x:f>$I$2*AE7</x:f>
        <x:v>0.043059132778281495</x:v>
      </x:c>
      <x:c r="M7" s="14" t="n">
        <x:f>$K$2*AJ7</x:f>
        <x:v>0</x:v>
      </x:c>
      <x:c r="N7" s="15" t="n">
        <x:v>8</x:v>
      </x:c>
      <x:c r="O7" s="15" t="n">
        <x:v>53.88806339772163</x:v>
      </x:c>
      <x:c r="P7" s="15" t="n">
        <x:v>-0.18126949958368144</x:v>
      </x:c>
      <x:c r="Q7" s="14" t="n">
        <x:f>IFERROR((O7-AVERAGE($O$5:$O$21))/STDEV.P($O$5:$O$21),0)</x:f>
        <x:v>0.14329998802561913</x:v>
      </x:c>
      <x:c r="R7" s="14" t="n">
        <x:f>IFERROR((P7-AVERAGE($P$5:$P$21))/STDEV.P($P$5:$P$21),0)</x:f>
        <x:v>0.7057445276961184</x:v>
      </x:c>
      <x:c r="S7" s="14" t="n">
        <x:f>0.65*Q7+0.35*R7</x:f>
        <x:v>0.34015557691029386</x:v>
      </x:c>
      <x:c r="T7" s="15" t="n">
        <x:v>35.63</x:v>
      </x:c>
      <x:c r="U7" s="15" t="n">
        <x:v>19.98</x:v>
      </x:c>
      <x:c r="V7" s="15" t="n">
        <x:v>19.98</x:v>
      </x:c>
      <x:c r="W7" s="14" t="n">
        <x:f>IFERROR((T7-AVERAGE($T$5:$T$21))/STDEV.P($T$5:$T$21),0)</x:f>
        <x:v>0.27276990089342285</x:v>
      </x:c>
      <x:c r="X7" s="14" t="n">
        <x:f>IFERROR((V7-AVERAGE($V$5:$V$21))/STDEV.P($V$5:$V$21),0)</x:f>
        <x:v>0.2436908440358494</x:v>
      </x:c>
      <x:c r="Y7" s="14" t="n">
        <x:f>0.6*W7+0.4*X7</x:f>
        <x:v>0.2611382781503935</x:v>
      </x:c>
      <x:c r="Z7" s="15" t="n">
        <x:v>2100</x:v>
      </x:c>
      <x:c r="AA7" s="15"/>
      <x:c r="AB7" s="15"/>
      <x:c r="AC7" s="15"/>
      <x:c r="AD7" s="14" t="n">
        <x:v>7.649692623711514</x:v>
      </x:c>
      <x:c r="AE7" s="14" t="n">
        <x:f>IFERROR((AD7-AVERAGE($AD$5:$AD$21))/STDEV.P($AD$5:$AD$21),0)</x:f>
        <x:v>0.2392174043237861</x:v>
      </x:c>
      <x:c r="AF7" s="14" t="n">
        <x:f>-AH7+0.2*AG7</x:f>
        <x:v>-0.4</x:v>
      </x:c>
      <x:c r="AG7" s="14" t="n">
        <x:f>IFERROR((AI7-AVERAGE($AI$5:$AI$21))/STDEV.P($AI$5:$AI$21),0)</x:f>
        <x:v>0</x:v>
      </x:c>
      <x:c r="AH7" s="14" t="n">
        <x:v>0.4</x:v>
      </x:c>
      <x:c r="AI7" s="14"/>
      <x:c r="AJ7" s="14"/>
      <x:c r="AK7" s="13" t="str">
        <x:v>2026Q1</x:v>
      </x:c>
      <x:c r="AL7" s="13"/>
      <x:c r="AM7" s="13" t="str">
        <x:v>No</x:v>
      </x:c>
      <x:c r="AN7" s="10" t="str">
        <x:v>历史加速 -0.2ppt / 无forecast不扣分</x:v>
      </x:c>
      <x:c r="AO7" s="10" t="str">
        <x:v>https://finance.sina.com.cn/stock/relnews/cn/2026-04-22/doc-inhvkqha6082058.shtml</x:v>
      </x:c>
      <x:c r="AP7" s="10" t="str"/>
    </x:row>
    <x:row r="8">
      <x:c r="A8" s="13" t="n">
        <x:v>4</x:v>
      </x:c>
      <x:c r="B8" s="13" t="str">
        <x:v>688008</x:v>
      </x:c>
      <x:c r="C8" s="13" t="str">
        <x:v>澜起科技</x:v>
      </x:c>
      <x:c r="D8" s="13" t="str">
        <x:v>存储接口</x:v>
      </x:c>
      <x:c r="E8" s="13" t="str">
        <x:v>Core 80%</x:v>
      </x:c>
      <x:c r="F8" s="13" t="n">
        <x:v>16</x:v>
      </x:c>
      <x:c r="G8" s="14" t="n">
        <x:f>IFERROR((H8-MIN($H$5:$H$21)+0.5)/(SUM($H$5:$H$21)-COUNT($H$5:$H$21)*MIN($H$5:$H$21)+0.5*COUNT($H$5:$H$21))*100,"")</x:f>
        <x:v>8.610356519715678</x:v>
      </x:c>
      <x:c r="H8" s="14" t="n">
        <x:f>$C$2*2*(N8/10)+$E$2*S8+$G$2*Y8+$I$2*AE8+$K$2*AJ8</x:f>
        <x:v>0.8093091880455245</x:v>
      </x:c>
      <x:c r="I8" s="14" t="n">
        <x:f>$C$2*2*(N8/10)</x:f>
        <x:v>0.35200000000000004</x:v>
      </x:c>
      <x:c r="J8" s="14" t="n">
        <x:f>$E$2*S8</x:f>
        <x:v>-0.046698281777109864</x:v>
      </x:c>
      <x:c r="K8" s="14" t="n">
        <x:f>$G$2*Y8</x:f>
        <x:v>0.4698603078792779</x:v>
      </x:c>
      <x:c r="L8" s="14" t="n">
        <x:f>$I$2*AE8</x:f>
        <x:v>0.03414716194335642</x:v>
      </x:c>
      <x:c r="M8" s="14" t="n">
        <x:f>$K$2*AJ8</x:f>
        <x:v>0</x:v>
      </x:c>
      <x:c r="N8" s="15" t="n">
        <x:v>8</x:v>
      </x:c>
      <x:c r="O8" s="15" t="n">
        <x:v>19.476268412438614</x:v>
      </x:c>
      <x:c r="P8" s="15" t="n">
        <x:v>-6.608285830641224</x:v>
      </x:c>
      <x:c r="Q8" s="14" t="n">
        <x:f>IFERROR((O8-AVERAGE($O$5:$O$21))/STDEV.P($O$5:$O$21),0)</x:f>
        <x:v>-0.5261658479124766</x:v>
      </x:c>
      <x:c r="R8" s="14" t="n">
        <x:f>IFERROR((P8-AVERAGE($P$5:$P$21))/STDEV.P($P$5:$P$21),0)</x:f>
        <x:v>0.31004683502160146</x:v>
      </x:c>
      <x:c r="S8" s="14" t="n">
        <x:f>0.65*Q8+0.35*R8</x:f>
        <x:v>-0.2334914088855493</x:v>
      </x:c>
      <x:c r="T8" s="15" t="n">
        <x:v>69.8</x:v>
      </x:c>
      <x:c r="U8" s="15" t="n">
        <x:v>56.8</x:v>
      </x:c>
      <x:c r="V8" s="15" t="n">
        <x:v>56.8</x:v>
      </x:c>
      <x:c r="W8" s="14" t="n">
        <x:f>IFERROR((T8-AVERAGE($T$5:$T$21))/STDEV.P($T$5:$T$21),0)</x:f>
        <x:v>2.150353829439224</x:v>
      </x:c>
      <x:c r="X8" s="14" t="n">
        <x:f>IFERROR((V8-AVERAGE($V$5:$V$21))/STDEV.P($V$5:$V$21),0)</x:f>
        <x:v>2.647723104332137</x:v>
      </x:c>
      <x:c r="Y8" s="14" t="n">
        <x:f>0.6*W8+0.4*X8</x:f>
        <x:v>2.3493015393963894</x:v>
      </x:c>
      <x:c r="Z8" s="15" t="n">
        <x:v>1972</x:v>
      </x:c>
      <x:c r="AA8" s="15"/>
      <x:c r="AB8" s="15"/>
      <x:c r="AC8" s="15"/>
      <x:c r="AD8" s="14" t="n">
        <x:v>7.586803535162581</x:v>
      </x:c>
      <x:c r="AE8" s="14" t="n">
        <x:f>IFERROR((AD8-AVERAGE($AD$5:$AD$21))/STDEV.P($AD$5:$AD$21),0)</x:f>
        <x:v>0.18970645524086904</x:v>
      </x:c>
      <x:c r="AF8" s="14" t="n">
        <x:f>-AH8+0.2*AG8</x:f>
        <x:v>-0.8271249999999998</x:v>
      </x:c>
      <x:c r="AG8" s="14" t="n">
        <x:f>IFERROR((AI8-AVERAGE($AI$5:$AI$21))/STDEV.P($AI$5:$AI$21),0)</x:f>
        <x:v>0</x:v>
      </x:c>
      <x:c r="AH8" s="14" t="n">
        <x:v>0.8271249999999998</x:v>
      </x:c>
      <x:c r="AI8" s="14"/>
      <x:c r="AJ8" s="14"/>
      <x:c r="AK8" s="13" t="str">
        <x:v>2026Q1</x:v>
      </x:c>
      <x:c r="AL8" s="13"/>
      <x:c r="AM8" s="13" t="str">
        <x:v>No</x:v>
      </x:c>
      <x:c r="AN8" s="10" t="str">
        <x:v>历史加速 -6.6ppt / 无forecast不扣分</x:v>
      </x:c>
      <x:c r="AO8" s="10" t="str">
        <x:v>https://stock.stockstar.com/RB2026042900024218.shtml</x:v>
      </x:c>
      <x:c r="AP8" s="10" t="str"/>
    </x:row>
    <x:row r="9">
      <x:c r="A9" s="13" t="n">
        <x:v>5</x:v>
      </x:c>
      <x:c r="B9" s="13" t="str">
        <x:v>688981</x:v>
      </x:c>
      <x:c r="C9" s="13" t="str">
        <x:v>中芯国际</x:v>
      </x:c>
      <x:c r="D9" s="13" t="str">
        <x:v>晶圆代工</x:v>
      </x:c>
      <x:c r="E9" s="13" t="str">
        <x:v>Core 80%</x:v>
      </x:c>
      <x:c r="F9" s="13" t="n">
        <x:v>16</x:v>
      </x:c>
      <x:c r="G9" s="14" t="n">
        <x:f>IFERROR((H9-MIN($H$5:$H$21)+0.5)/(SUM($H$5:$H$21)-COUNT($H$5:$H$21)*MIN($H$5:$H$21)+0.5*COUNT($H$5:$H$21))*100,"")</x:f>
        <x:v>7.453177771048954</x:v>
      </x:c>
      <x:c r="H9" s="14" t="n">
        <x:f>$C$2*2*(N9/10)+$E$2*S9+$G$2*Y9+$I$2*AE9+$K$2*AJ9</x:f>
        <x:v>0.6087380511327491</x:v>
      </x:c>
      <x:c r="I9" s="14" t="n">
        <x:f>$C$2*2*(N9/10)</x:f>
        <x:v>0.44</x:v>
      </x:c>
      <x:c r="J9" s="14" t="n">
        <x:f>$E$2*S9</x:f>
        <x:v>-0.05273254632662207</x:v>
      </x:c>
      <x:c r="K9" s="14" t="n">
        <x:f>$G$2*Y9</x:f>
        <x:v>-0.10521693255159487</x:v>
      </x:c>
      <x:c r="L9" s="14" t="n">
        <x:f>$I$2*AE9</x:f>
        <x:v>0.32668753001096607</x:v>
      </x:c>
      <x:c r="M9" s="14" t="n">
        <x:f>$K$2*AJ9</x:f>
        <x:v>0</x:v>
      </x:c>
      <x:c r="N9" s="15" t="n">
        <x:v>10</x:v>
      </x:c>
      <x:c r="O9" s="15" t="n">
        <x:v>8.09152812710876</x:v>
      </x:c>
      <x:c r="P9" s="15" t="n">
        <x:v>-1.3275213112315944</x:v>
      </x:c>
      <x:c r="Q9" s="14" t="n">
        <x:f>IFERROR((O9-AVERAGE($O$5:$O$21))/STDEV.P($O$5:$O$21),0)</x:f>
        <x:v>-0.7476507973408936</x:v>
      </x:c>
      <x:c r="R9" s="14" t="n">
        <x:f>IFERROR((P9-AVERAGE($P$5:$P$21))/STDEV.P($P$5:$P$21),0)</x:f>
        <x:v>0.6351722475384872</x:v>
      </x:c>
      <x:c r="S9" s="14" t="n">
        <x:f>0.65*Q9+0.35*R9</x:f>
        <x:v>-0.2636627316331103</x:v>
      </x:c>
      <x:c r="T9" s="15" t="n">
        <x:v>21.48</x:v>
      </x:c>
      <x:c r="U9" s="15" t="n">
        <x:v>7.7</x:v>
      </x:c>
      <x:c r="V9" s="15" t="n">
        <x:v>7.7</x:v>
      </x:c>
      <x:c r="W9" s="14" t="n">
        <x:f>IFERROR((T9-AVERAGE($T$5:$T$21))/STDEV.P($T$5:$T$21),0)</x:f>
        <x:v>-0.5047487584253681</x:v>
      </x:c>
      <x:c r="X9" s="14" t="n">
        <x:f>IFERROR((V9-AVERAGE($V$5:$V$21))/STDEV.P($V$5:$V$21),0)</x:f>
        <x:v>-0.5580885192568834</x:v>
      </x:c>
      <x:c r="Y9" s="14" t="n">
        <x:f>0.6*W9+0.4*X9</x:f>
        <x:v>-0.5260846627579743</x:v>
      </x:c>
      <x:c r="Z9" s="15" t="n">
        <x:v>15540</x:v>
      </x:c>
      <x:c r="AA9" s="15"/>
      <x:c r="AB9" s="15"/>
      <x:c r="AC9" s="15"/>
      <x:c r="AD9" s="14" t="n">
        <x:v>9.651172623921639</x:v>
      </x:c>
      <x:c r="AE9" s="14" t="n">
        <x:f>IFERROR((AD9-AVERAGE($AD$5:$AD$21))/STDEV.P($AD$5:$AD$21),0)</x:f>
        <x:v>1.814930722283145</x:v>
      </x:c>
      <x:c r="AF9" s="14" t="n">
        <x:f>-AH9+0.2*AG9</x:f>
        <x:v>-0.5711</x:v>
      </x:c>
      <x:c r="AG9" s="14" t="n">
        <x:f>IFERROR((AI9-AVERAGE($AI$5:$AI$21))/STDEV.P($AI$5:$AI$21),0)</x:f>
        <x:v>0</x:v>
      </x:c>
      <x:c r="AH9" s="14" t="n">
        <x:v>0.5711</x:v>
      </x:c>
      <x:c r="AI9" s="14"/>
      <x:c r="AJ9" s="14"/>
      <x:c r="AK9" s="13" t="str">
        <x:v>2026Q1</x:v>
      </x:c>
      <x:c r="AL9" s="13"/>
      <x:c r="AM9" s="13" t="str">
        <x:v>No</x:v>
      </x:c>
      <x:c r="AN9" s="10" t="str">
        <x:v>历史加速 -1.3ppt / 无forecast不扣分</x:v>
      </x:c>
      <x:c r="AO9" s="10" t="str">
        <x:v>https://finance.sina.com.cn/jjxw/2026-05-15/doc-inhxycck8172655.shtml</x:v>
      </x:c>
      <x:c r="AP9" s="10" t="str"/>
    </x:row>
    <x:row r="10">
      <x:c r="A10" s="13" t="n">
        <x:v>6</x:v>
      </x:c>
      <x:c r="B10" s="13" t="str">
        <x:v>688012</x:v>
      </x:c>
      <x:c r="C10" s="13" t="str">
        <x:v>中微公司</x:v>
      </x:c>
      <x:c r="D10" s="13" t="str">
        <x:v>刻蚀设备</x:v>
      </x:c>
      <x:c r="E10" s="13" t="str">
        <x:v>Satellite 20%</x:v>
      </x:c>
      <x:c r="F10" s="13" t="n">
        <x:v>4</x:v>
      </x:c>
      <x:c r="G10" s="14" t="n">
        <x:f>IFERROR((H10-MIN($H$5:$H$21)+0.5)/(SUM($H$5:$H$21)-COUNT($H$5:$H$21)*MIN($H$5:$H$21)+0.5*COUNT($H$5:$H$21))*100,"")</x:f>
        <x:v>7.018585143135748</x:v>
      </x:c>
      <x:c r="H10" s="14" t="n">
        <x:f>$C$2*2*(N10/10)+$E$2*S10+$G$2*Y10+$I$2*AE10+$K$2*AJ10</x:f>
        <x:v>0.5334111082772103</x:v>
      </x:c>
      <x:c r="I10" s="14" t="n">
        <x:f>$C$2*2*(N10/10)</x:f>
        <x:v>0.396</x:v>
      </x:c>
      <x:c r="J10" s="14" t="n">
        <x:f>$E$2*S10</x:f>
        <x:v>-0.05089334944073898</x:v>
      </x:c>
      <x:c r="K10" s="14" t="n">
        <x:f>$G$2*Y10</x:f>
        <x:v>0.14660140546698872</x:v>
      </x:c>
      <x:c r="L10" s="14" t="n">
        <x:f>$I$2*AE10</x:f>
        <x:v>0.04170305225096045</x:v>
      </x:c>
      <x:c r="M10" s="14" t="n">
        <x:f>$K$2*AJ10</x:f>
        <x:v>0</x:v>
      </x:c>
      <x:c r="N10" s="15" t="n">
        <x:v>9</x:v>
      </x:c>
      <x:c r="O10" s="15" t="n">
        <x:v>38.743455497382186</x:v>
      </x:c>
      <x:c r="P10" s="15" t="n">
        <x:v>-18.888238621801076</x:v>
      </x:c>
      <x:c r="Q10" s="14" t="n">
        <x:f>IFERROR((O10-AVERAGE($O$5:$O$21))/STDEV.P($O$5:$O$21),0)</x:f>
        <x:v>-0.15133147750216053</x:v>
      </x:c>
      <x:c r="R10" s="14" t="n">
        <x:f>IFERROR((P10-AVERAGE($P$5:$P$21))/STDEV.P($P$5:$P$21),0)</x:f>
        <x:v>-0.44600367664940166</x:v>
      </x:c>
      <x:c r="S10" s="14" t="n">
        <x:f>0.65*Q10+0.35*R10</x:f>
        <x:v>-0.2544667472036949</x:v>
      </x:c>
      <x:c r="T10" s="15" t="n">
        <x:v>40.5</x:v>
      </x:c>
      <x:c r="U10" s="15" t="n">
        <x:v>31.9</x:v>
      </x:c>
      <x:c r="V10" s="15" t="n">
        <x:v>31.9</x:v>
      </x:c>
      <x:c r="W10" s="14" t="n">
        <x:f>IFERROR((T10-AVERAGE($T$5:$T$21))/STDEV.P($T$5:$T$21),0)</x:f>
        <x:v>0.5403681956554377</x:v>
      </x:c>
      <x:c r="X10" s="14" t="n">
        <x:f>IFERROR((V10-AVERAGE($V$5:$V$21))/STDEV.P($V$5:$V$21),0)</x:f>
        <x:v>1.0219652748542023</x:v>
      </x:c>
      <x:c r="Y10" s="14" t="n">
        <x:f>0.6*W10+0.4*X10</x:f>
        <x:v>0.7330070273349436</x:v>
      </x:c>
      <x:c r="Z10" s="15" t="n">
        <x:v>2080</x:v>
      </x:c>
      <x:c r="AA10" s="15"/>
      <x:c r="AB10" s="15"/>
      <x:c r="AC10" s="15"/>
      <x:c r="AD10" s="14" t="n">
        <x:v>7.640123172695364</x:v>
      </x:c>
      <x:c r="AE10" s="14" t="n">
        <x:f>IFERROR((AD10-AVERAGE($AD$5:$AD$21))/STDEV.P($AD$5:$AD$21),0)</x:f>
        <x:v>0.23168362361644695</x:v>
      </x:c>
      <x:c r="AF10" s="14" t="n">
        <x:f>-AH10+0.2*AG10</x:f>
        <x:v>-0.6809999999999999</x:v>
      </x:c>
      <x:c r="AG10" s="14" t="n">
        <x:f>IFERROR((AI10-AVERAGE($AI$5:$AI$21))/STDEV.P($AI$5:$AI$21),0)</x:f>
        <x:v>0</x:v>
      </x:c>
      <x:c r="AH10" s="14" t="n">
        <x:v>0.6809999999999999</x:v>
      </x:c>
      <x:c r="AI10" s="14"/>
      <x:c r="AJ10" s="14"/>
      <x:c r="AK10" s="13" t="str">
        <x:v>2026Q1</x:v>
      </x:c>
      <x:c r="AL10" s="13"/>
      <x:c r="AM10" s="13" t="str">
        <x:v>No</x:v>
      </x:c>
      <x:c r="AN10" s="10" t="str">
        <x:v>历史加速 -18.9ppt / 无forecast不扣分</x:v>
      </x:c>
      <x:c r="AO10" s="10" t="str">
        <x:v>https://finance.sina.com.cn/jjxw/2026-04-28/doc-inhvzfsh8542848.shtml</x:v>
      </x:c>
      <x:c r="AP10" s="10" t="str"/>
    </x:row>
    <x:row r="11">
      <x:c r="A11" s="13" t="n">
        <x:v>7</x:v>
      </x:c>
      <x:c r="B11" s="13" t="str">
        <x:v>688120</x:v>
      </x:c>
      <x:c r="C11" s="13" t="str">
        <x:v>华海清科</x:v>
      </x:c>
      <x:c r="D11" s="13" t="str">
        <x:v>CMP 设备</x:v>
      </x:c>
      <x:c r="E11" s="13" t="str">
        <x:v>Satellite 20%</x:v>
      </x:c>
      <x:c r="F11" s="13" t="n">
        <x:v>4</x:v>
      </x:c>
      <x:c r="G11" s="14" t="n">
        <x:f>IFERROR((H11-MIN($H$5:$H$21)+0.5)/(SUM($H$5:$H$21)-COUNT($H$5:$H$21)*MIN($H$5:$H$21)+0.5*COUNT($H$5:$H$21))*100,"")</x:f>
        <x:v>5.641291816986875</x:v>
      </x:c>
      <x:c r="H11" s="14" t="n">
        <x:f>$C$2*2*(N11/10)+$E$2*S11+$G$2*Y11+$I$2*AE11+$K$2*AJ11</x:f>
        <x:v>0.29468801678737694</x:v>
      </x:c>
      <x:c r="I11" s="14" t="n">
        <x:f>$C$2*2*(N11/10)</x:f>
        <x:v>0.308</x:v>
      </x:c>
      <x:c r="J11" s="14" t="n">
        <x:f>$E$2*S11</x:f>
        <x:v>0.0266052729863306</x:v>
      </x:c>
      <x:c r="K11" s="14" t="n">
        <x:f>$G$2*Y11</x:f>
        <x:v>0.09935598286458364</x:v>
      </x:c>
      <x:c r="L11" s="14" t="n">
        <x:f>$I$2*AE11</x:f>
        <x:v>-0.13927323906353728</x:v>
      </x:c>
      <x:c r="M11" s="14" t="n">
        <x:f>$K$2*AJ11</x:f>
        <x:v>0</x:v>
      </x:c>
      <x:c r="N11" s="15" t="n">
        <x:v>7</x:v>
      </x:c>
      <x:c r="O11" s="15" t="n">
        <x:v>31.688596491228083</x:v>
      </x:c>
      <x:c r="P11" s="15" t="n">
        <x:v>3.2339229098600857</x:v>
      </x:c>
      <x:c r="Q11" s="14" t="n">
        <x:f>IFERROR((O11-AVERAGE($O$5:$O$21))/STDEV.P($O$5:$O$21),0)</x:f>
        <x:v>-0.2885805539888783</x:v>
      </x:c>
      <x:c r="R11" s="14" t="n">
        <x:f>IFERROR((P11-AVERAGE($P$5:$P$21))/STDEV.P($P$5:$P$21),0)</x:f>
        <x:v>0.9160106429269254</x:v>
      </x:c>
      <x:c r="S11" s="14" t="n">
        <x:f>0.65*Q11+0.35*R11</x:f>
        <x:v>0.13302636493165299</x:v>
      </x:c>
      <x:c r="T11" s="15" t="n">
        <x:v>42.31</x:v>
      </x:c>
      <x:c r="U11" s="15" t="n">
        <x:v>20.57</x:v>
      </x:c>
      <x:c r="V11" s="15" t="n">
        <x:v>20.57</x:v>
      </x:c>
      <x:c r="W11" s="14" t="n">
        <x:f>IFERROR((T11-AVERAGE($T$5:$T$21))/STDEV.P($T$5:$T$21),0)</x:f>
        <x:v>0.6398246460700676</x:v>
      </x:c>
      <x:c r="X11" s="14" t="n">
        <x:f>IFERROR((V11-AVERAGE($V$5:$V$21))/STDEV.P($V$5:$V$21),0)</x:f>
        <x:v>0.28221281670219406</x:v>
      </x:c>
      <x:c r="Y11" s="14" t="n">
        <x:f>0.6*W11+0.4*X11</x:f>
        <x:v>0.4967799143229182</x:v>
      </x:c>
      <x:c r="Z11" s="15" t="n">
        <x:v>580</x:v>
      </x:c>
      <x:c r="AA11" s="15"/>
      <x:c r="AB11" s="15"/>
      <x:c r="AC11" s="15"/>
      <x:c r="AD11" s="14" t="n">
        <x:v>6.363028103540465</x:v>
      </x:c>
      <x:c r="AE11" s="14" t="n">
        <x:f>IFERROR((AD11-AVERAGE($AD$5:$AD$21))/STDEV.P($AD$5:$AD$21),0)</x:f>
        <x:v>-0.7737402170196516</x:v>
      </x:c>
      <x:c r="AF11" s="14" t="n">
        <x:f>-AH11+0.2*AG11</x:f>
        <x:v>-0.45</x:v>
      </x:c>
      <x:c r="AG11" s="14" t="n">
        <x:f>IFERROR((AI11-AVERAGE($AI$5:$AI$21))/STDEV.P($AI$5:$AI$21),0)</x:f>
        <x:v>0</x:v>
      </x:c>
      <x:c r="AH11" s="14" t="n">
        <x:v>0.45</x:v>
      </x:c>
      <x:c r="AI11" s="14"/>
      <x:c r="AJ11" s="14"/>
      <x:c r="AK11" s="13" t="str">
        <x:v>2026Q1</x:v>
      </x:c>
      <x:c r="AL11" s="13"/>
      <x:c r="AM11" s="13" t="str">
        <x:v>No</x:v>
      </x:c>
      <x:c r="AN11" s="10" t="str">
        <x:v>历史加速 3.2ppt / 无forecast不扣分</x:v>
      </x:c>
      <x:c r="AO11" s="10" t="str">
        <x:v>https://finance.sina.com.cn/jjxw/2026-04-23/doc-inhvmvzh5090742.shtml</x:v>
      </x:c>
      <x:c r="AP11" s="10" t="str"/>
    </x:row>
    <x:row r="12">
      <x:c r="A12" s="13" t="n">
        <x:v>8</x:v>
      </x:c>
      <x:c r="B12" s="13" t="str">
        <x:v>688347</x:v>
      </x:c>
      <x:c r="C12" s="13" t="str">
        <x:v>华虹公司</x:v>
      </x:c>
      <x:c r="D12" s="13" t="str">
        <x:v>晶圆代工</x:v>
      </x:c>
      <x:c r="E12" s="13" t="str">
        <x:v>Satellite 20%</x:v>
      </x:c>
      <x:c r="F12" s="13" t="n">
        <x:v>4</x:v>
      </x:c>
      <x:c r="G12" s="14" t="n">
        <x:f>IFERROR((H12-MIN($H$5:$H$21)+0.5)/(SUM($H$5:$H$21)-COUNT($H$5:$H$21)*MIN($H$5:$H$21)+0.5*COUNT($H$5:$H$21))*100,"")</x:f>
        <x:v>5.135042433219245</x:v>
      </x:c>
      <x:c r="H12" s="14" t="n">
        <x:f>$C$2*2*(N12/10)+$E$2*S12+$G$2*Y12+$I$2*AE12+$K$2*AJ12</x:f>
        <x:v>0.20694097288369606</x:v>
      </x:c>
      <x:c r="I12" s="14" t="n">
        <x:f>$C$2*2*(N12/10)</x:f>
        <x:v>0.35200000000000004</x:v>
      </x:c>
      <x:c r="J12" s="14" t="n">
        <x:f>$E$2*S12</x:f>
        <x:v>-0.0531588439931581</x:v>
      </x:c>
      <x:c r="K12" s="14" t="n">
        <x:f>$G$2*Y12</x:f>
        <x:v>-0.15535046422357535</x:v>
      </x:c>
      <x:c r="L12" s="14" t="n">
        <x:f>$I$2*AE12</x:f>
        <x:v>0.0634502811004295</x:v>
      </x:c>
      <x:c r="M12" s="14" t="n">
        <x:f>$K$2*AJ12</x:f>
        <x:v>0</x:v>
      </x:c>
      <x:c r="N12" s="15" t="n">
        <x:v>8</x:v>
      </x:c>
      <x:c r="O12" s="15" t="n">
        <x:v>18.323536928188066</x:v>
      </x:c>
      <x:c r="P12" s="15" t="n">
        <x:v>-7.430885482634314</x:v>
      </x:c>
      <x:c r="Q12" s="14" t="n">
        <x:f>IFERROR((O12-AVERAGE($O$5:$O$21))/STDEV.P($O$5:$O$21),0)</x:f>
        <x:v>-0.5485917151782206</x:v>
      </x:c>
      <x:c r="R12" s="14" t="n">
        <x:f>IFERROR((P12-AVERAGE($P$5:$P$21))/STDEV.P($P$5:$P$21),0)</x:f>
        <x:v>0.2594011282858655</x:v>
      </x:c>
      <x:c r="S12" s="14" t="n">
        <x:f>0.65*Q12+0.35*R12</x:f>
        <x:v>-0.2657942199657905</x:v>
      </x:c>
      <x:c r="T12" s="15" t="n">
        <x:v>17.6</x:v>
      </x:c>
      <x:c r="U12" s="15" t="n">
        <x:v>3</x:v>
      </x:c>
      <x:c r="V12" s="15" t="n">
        <x:v>3</x:v>
      </x:c>
      <x:c r="W12" s="14" t="n">
        <x:f>IFERROR((T12-AVERAGE($T$5:$T$21))/STDEV.P($T$5:$T$21),0)</x:f>
        <x:v>-0.7179482211926408</x:v>
      </x:c>
      <x:c r="X12" s="14" t="n">
        <x:f>IFERROR((V12-AVERAGE($V$5:$V$21))/STDEV.P($V$5:$V$21),0)</x:f>
        <x:v>-0.8649584710057306</x:v>
      </x:c>
      <x:c r="Y12" s="14" t="n">
        <x:f>0.6*W12+0.4*X12</x:f>
        <x:v>-0.7767523211178767</x:v>
      </x:c>
      <x:c r="Z12" s="15" t="n">
        <x:v>2425</x:v>
      </x:c>
      <x:c r="AA12" s="15"/>
      <x:c r="AB12" s="15"/>
      <x:c r="AC12" s="15"/>
      <x:c r="AD12" s="14" t="n">
        <x:v>7.793586803371584</x:v>
      </x:c>
      <x:c r="AE12" s="14" t="n">
        <x:f>IFERROR((AD12-AVERAGE($AD$5:$AD$21))/STDEV.P($AD$5:$AD$21),0)</x:f>
        <x:v>0.3525015616690528</x:v>
      </x:c>
      <x:c r="AF12" s="14" t="n">
        <x:f>-AH12+0.2*AG12</x:f>
        <x:v>-0.45</x:v>
      </x:c>
      <x:c r="AG12" s="14" t="n">
        <x:f>IFERROR((AI12-AVERAGE($AI$5:$AI$21))/STDEV.P($AI$5:$AI$21),0)</x:f>
        <x:v>0</x:v>
      </x:c>
      <x:c r="AH12" s="14" t="n">
        <x:v>0.45</x:v>
      </x:c>
      <x:c r="AI12" s="14"/>
      <x:c r="AJ12" s="14"/>
      <x:c r="AK12" s="13" t="str">
        <x:v>2026Q1</x:v>
      </x:c>
      <x:c r="AL12" s="13"/>
      <x:c r="AM12" s="13" t="str">
        <x:v>No</x:v>
      </x:c>
      <x:c r="AN12" s="10" t="str">
        <x:v>历史加速 -7.4ppt / 无forecast不扣分</x:v>
      </x:c>
      <x:c r="AO12" s="10" t="str">
        <x:v>https://stockmc.xueqiu.com/202604/688347_20260430_DFWW.pdf</x:v>
      </x:c>
      <x:c r="AP12" s="10" t="str"/>
    </x:row>
    <x:row r="13">
      <x:c r="A13" s="13" t="n">
        <x:v>9</x:v>
      </x:c>
      <x:c r="B13" s="13" t="str">
        <x:v>601138</x:v>
      </x:c>
      <x:c r="C13" s="13" t="str">
        <x:v>工业富联</x:v>
      </x:c>
      <x:c r="D13" s="13" t="str">
        <x:v>服务器代工</x:v>
      </x:c>
      <x:c r="E13" s="13" t="str">
        <x:v>Satellite 20%</x:v>
      </x:c>
      <x:c r="F13" s="13" t="n">
        <x:v>4</x:v>
      </x:c>
      <x:c r="G13" s="14" t="n">
        <x:f>IFERROR((H13-MIN($H$5:$H$21)+0.5)/(SUM($H$5:$H$21)-COUNT($H$5:$H$21)*MIN($H$5:$H$21)+0.5*COUNT($H$5:$H$21))*100,"")</x:f>
        <x:v>5.360196877579999</x:v>
      </x:c>
      <x:c r="H13" s="14" t="n">
        <x:f>$C$2*2*(N13/10)+$E$2*S13+$G$2*Y13+$I$2*AE13+$K$2*AJ13</x:f>
        <x:v>0.24596647602090152</x:v>
      </x:c>
      <x:c r="I13" s="14" t="n">
        <x:f>$C$2*2*(N13/10)</x:f>
        <x:v>0.17600000000000002</x:v>
      </x:c>
      <x:c r="J13" s="14" t="n">
        <x:f>$E$2*S13</x:f>
        <x:v>-0.009306396785852156</x:v>
      </x:c>
      <x:c r="K13" s="14" t="n">
        <x:f>$G$2*Y13</x:f>
        <x:v>-0.21633921996936145</x:v>
      </x:c>
      <x:c r="L13" s="14" t="n">
        <x:f>$I$2*AE13</x:f>
        <x:v>0.2956120927761151</x:v>
      </x:c>
      <x:c r="M13" s="14" t="n">
        <x:f>$K$2*AJ13</x:f>
        <x:v>0</x:v>
      </x:c>
      <x:c r="N13" s="15" t="n">
        <x:v>4</x:v>
      </x:c>
      <x:c r="O13" s="15" t="n">
        <x:v>56.51902876913007</x:v>
      </x:c>
      <x:c r="P13" s="15" t="n">
        <x:v>-19.6699749030454</x:v>
      </x:c>
      <x:c r="Q13" s="14" t="n">
        <x:f>IFERROR((O13-AVERAGE($O$5:$O$21))/STDEV.P($O$5:$O$21),0)</x:f>
        <x:v>0.19448422390890882</x:v>
      </x:c>
      <x:c r="R13" s="14" t="n">
        <x:f>IFERROR((P13-AVERAGE($P$5:$P$21))/STDEV.P($P$5:$P$21),0)</x:f>
        <x:v>-0.4941335127715758</x:v>
      </x:c>
      <x:c r="S13" s="14" t="n">
        <x:f>0.65*Q13+0.35*R13</x:f>
        <x:v>-0.04653198392926078</x:v>
      </x:c>
      <x:c r="T13" s="15" t="n">
        <x:v>7.4</x:v>
      </x:c>
      <x:c r="U13" s="15" t="n">
        <x:v>4.2</x:v>
      </x:c>
      <x:c r="V13" s="15" t="n">
        <x:v>4.2</x:v>
      </x:c>
      <x:c r="W13" s="14" t="n">
        <x:f>IFERROR((T13-AVERAGE($T$5:$T$21))/STDEV.P($T$5:$T$21),0)</x:f>
        <x:v>-1.2784210356839247</x:v>
      </x:c>
      <x:c r="X13" s="14" t="n">
        <x:f>IFERROR((V13-AVERAGE($V$5:$V$21))/STDEV.P($V$5:$V$21),0)</x:f>
        <x:v>-0.7866086960911314</x:v>
      </x:c>
      <x:c r="Y13" s="14" t="n">
        <x:f>0.6*W13+0.4*X13</x:f>
        <x:v>-1.0816960998468073</x:v>
      </x:c>
      <x:c r="Z13" s="15" t="n">
        <x:v>12480</x:v>
      </x:c>
      <x:c r="AA13" s="15"/>
      <x:c r="AB13" s="15"/>
      <x:c r="AC13" s="15"/>
      <x:c r="AD13" s="14" t="n">
        <x:v>9.43188264192342</x:v>
      </x:c>
      <x:c r="AE13" s="14" t="n">
        <x:f>IFERROR((AD13-AVERAGE($AD$5:$AD$21))/STDEV.P($AD$5:$AD$21),0)</x:f>
        <x:v>1.6422894043117506</x:v>
      </x:c>
      <x:c r="AF13" s="14" t="n">
        <x:f>-AH13+0.2*AG13</x:f>
        <x:v>-0.4</x:v>
      </x:c>
      <x:c r="AG13" s="14" t="n">
        <x:f>IFERROR((AI13-AVERAGE($AI$5:$AI$21))/STDEV.P($AI$5:$AI$21),0)</x:f>
        <x:v>0</x:v>
      </x:c>
      <x:c r="AH13" s="14" t="n">
        <x:v>0.4</x:v>
      </x:c>
      <x:c r="AI13" s="14"/>
      <x:c r="AJ13" s="14"/>
      <x:c r="AK13" s="13" t="str">
        <x:v>2026Q1</x:v>
      </x:c>
      <x:c r="AL13" s="13"/>
      <x:c r="AM13" s="13" t="str">
        <x:v>No</x:v>
      </x:c>
      <x:c r="AN13" s="10" t="str">
        <x:v>历史加速 -19.7ppt / 无forecast不扣分</x:v>
      </x:c>
      <x:c r="AO13" s="10" t="str">
        <x:v>https://stock.stockstar.com/RB2026043000019123.shtml</x:v>
      </x:c>
      <x:c r="AP13" s="10" t="str"/>
    </x:row>
    <x:row r="14">
      <x:c r="A14" s="13" t="n">
        <x:v>10</x:v>
      </x:c>
      <x:c r="B14" s="13" t="str">
        <x:v>000034</x:v>
      </x:c>
      <x:c r="C14" s="13" t="str">
        <x:v>神州数码</x:v>
      </x:c>
      <x:c r="D14" s="13" t="str">
        <x:v>昇腾整机</x:v>
      </x:c>
      <x:c r="E14" s="13" t="str">
        <x:v>Satellite 20%</x:v>
      </x:c>
      <x:c r="F14" s="13" t="n">
        <x:v>4</x:v>
      </x:c>
      <x:c r="G14" s="14" t="n">
        <x:f>IFERROR((H14-MIN($H$5:$H$21)+0.5)/(SUM($H$5:$H$21)-COUNT($H$5:$H$21)*MIN($H$5:$H$21)+0.5*COUNT($H$5:$H$21))*100,"")</x:f>
        <x:v>3.967871610587866</x:v>
      </x:c>
      <x:c r="H14" s="14" t="n">
        <x:f>$C$2*2*(N14/10)+$E$2*S14+$G$2*Y14+$I$2*AE14+$K$2*AJ14</x:f>
        <x:v>0.004637932721300642</x:v>
      </x:c>
      <x:c r="I14" s="14" t="n">
        <x:f>$C$2*2*(N14/10)</x:f>
        <x:v>0.308</x:v>
      </x:c>
      <x:c r="J14" s="14" t="n">
        <x:f>$E$2*S14</x:f>
        <x:v>0.0667886963732912</x:v>
      </x:c>
      <x:c r="K14" s="14" t="n">
        <x:f>$G$2*Y14</x:f>
        <x:v>-0.2615183572190434</x:v>
      </x:c>
      <x:c r="L14" s="14" t="n">
        <x:f>$I$2*AE14</x:f>
        <x:v>-0.10863240643294719</x:v>
      </x:c>
      <x:c r="M14" s="14" t="n">
        <x:f>$K$2*AJ14</x:f>
        <x:v>0</x:v>
      </x:c>
      <x:c r="N14" s="15" t="n">
        <x:v>7</x:v>
      </x:c>
      <x:c r="O14" s="15" t="n">
        <x:v>27.635471080621834</x:v>
      </x:c>
      <x:c r="P14" s="15" t="n">
        <x:v>14.936257679313835</x:v>
      </x:c>
      <x:c r="Q14" s="14" t="n">
        <x:f>IFERROR((O14-AVERAGE($O$5:$O$21))/STDEV.P($O$5:$O$21),0)</x:f>
        <x:v>-0.3674322672556204</x:v>
      </x:c>
      <x:c r="R14" s="14" t="n">
        <x:f>IFERROR((P14-AVERAGE($P$5:$P$21))/STDEV.P($P$5:$P$21),0)</x:f>
        <x:v>1.6364984445217405</x:v>
      </x:c>
      <x:c r="S14" s="14" t="n">
        <x:f>0.65*Q14+0.35*R14</x:f>
        <x:v>0.33394348186645595</x:v>
      </x:c>
      <x:c r="T14" s="15" t="n">
        <x:v>3.4</x:v>
      </x:c>
      <x:c r="U14" s="15" t="n">
        <x:v>0.6</x:v>
      </x:c>
      <x:c r="V14" s="15" t="n">
        <x:v>0.6</x:v>
      </x:c>
      <x:c r="W14" s="14" t="n">
        <x:f>IFERROR((T14-AVERAGE($T$5:$T$21))/STDEV.P($T$5:$T$21),0)</x:f>
        <x:v>-1.4982142962687421</x:v>
      </x:c>
      <x:c r="X14" s="14" t="n">
        <x:f>IFERROR((V14-AVERAGE($V$5:$V$21))/STDEV.P($V$5:$V$21),0)</x:f>
        <x:v>-1.0216580208349293</x:v>
      </x:c>
      <x:c r="Y14" s="14" t="n">
        <x:f>0.6*W14+0.4*X14</x:f>
        <x:v>-1.3075917860952169</x:v>
      </x:c>
      <x:c r="Z14" s="15" t="n">
        <x:v>720</x:v>
      </x:c>
      <x:c r="AA14" s="15"/>
      <x:c r="AB14" s="15"/>
      <x:c r="AC14" s="15"/>
      <x:c r="AD14" s="14" t="n">
        <x:v>6.579251212010101</x:v>
      </x:c>
      <x:c r="AE14" s="14" t="n">
        <x:f>IFERROR((AD14-AVERAGE($AD$5:$AD$21))/STDEV.P($AD$5:$AD$21),0)</x:f>
        <x:v>-0.6035133690719289</x:v>
      </x:c>
      <x:c r="AF14" s="14" t="n">
        <x:f>-AH14+0.2*AG14</x:f>
        <x:v>-0.37799999999999995</x:v>
      </x:c>
      <x:c r="AG14" s="14" t="n">
        <x:f>IFERROR((AI14-AVERAGE($AI$5:$AI$21))/STDEV.P($AI$5:$AI$21),0)</x:f>
        <x:v>0</x:v>
      </x:c>
      <x:c r="AH14" s="14" t="n">
        <x:v>0.37799999999999995</x:v>
      </x:c>
      <x:c r="AI14" s="14"/>
      <x:c r="AJ14" s="14"/>
      <x:c r="AK14" s="13" t="str">
        <x:v>2026Q1</x:v>
      </x:c>
      <x:c r="AL14" s="13"/>
      <x:c r="AM14" s="13" t="str">
        <x:v>No</x:v>
      </x:c>
      <x:c r="AN14" s="10" t="str">
        <x:v>历史加速 14.9ppt / 无forecast不扣分</x:v>
      </x:c>
      <x:c r="AO14" s="10" t="str">
        <x:v>https://stock.stockstar.com/SS2026042900039497.shtml</x:v>
      </x:c>
      <x:c r="AP14" s="10" t="str"/>
    </x:row>
    <x:row r="15">
      <x:c r="A15" s="13" t="n">
        <x:v>11</x:v>
      </x:c>
      <x:c r="B15" s="13" t="str">
        <x:v>000938</x:v>
      </x:c>
      <x:c r="C15" s="13" t="str">
        <x:v>紫光股份</x:v>
      </x:c>
      <x:c r="D15" s="13" t="str">
        <x:v>算力网络</x:v>
      </x:c>
      <x:c r="E15" s="13" t="str">
        <x:v>Watch</x:v>
      </x:c>
      <x:c r="F15" s="13" t="n">
        <x:v>0</x:v>
      </x:c>
      <x:c r="G15" s="14" t="n">
        <x:f>IFERROR((H15-MIN($H$5:$H$21)+0.5)/(SUM($H$5:$H$21)-COUNT($H$5:$H$21)*MIN($H$5:$H$21)+0.5*COUNT($H$5:$H$21))*100,"")</x:f>
        <x:v>3.933528136866434</x:v>
      </x:c>
      <x:c r="H15" s="14" t="n">
        <x:f>$C$2*2*(N15/10)+$E$2*S15+$G$2*Y15+$I$2*AE15+$K$2*AJ15</x:f>
        <x:v>-0.0013147427644687182</x:v>
      </x:c>
      <x:c r="I15" s="14" t="n">
        <x:f>$C$2*2*(N15/10)</x:f>
        <x:v>0.308</x:v>
      </x:c>
      <x:c r="J15" s="14" t="n">
        <x:f>$E$2*S15</x:f>
        <x:v>-0.047415028060837874</x:v>
      </x:c>
      <x:c r="K15" s="14" t="n">
        <x:f>$G$2*Y15</x:f>
        <x:v>-0.18738597763156256</x:v>
      </x:c>
      <x:c r="L15" s="14" t="n">
        <x:f>$I$2*AE15</x:f>
        <x:v>-0.07451373707206829</x:v>
      </x:c>
      <x:c r="M15" s="14" t="n">
        <x:f>$K$2*AJ15</x:f>
        <x:v>0</x:v>
      </x:c>
      <x:c r="N15" s="15" t="n">
        <x:v>7</x:v>
      </x:c>
      <x:c r="O15" s="15" t="n">
        <x:v>34.63203463203462</x:v>
      </x:c>
      <x:c r="P15" s="15" t="n">
        <x:v>-15.668451817783879</x:v>
      </x:c>
      <x:c r="Q15" s="14" t="n">
        <x:f>IFERROR((O15-AVERAGE($O$5:$O$21))/STDEV.P($O$5:$O$21),0)</x:f>
        <x:v>-0.2313173023535055</x:v>
      </x:c>
      <x:c r="R15" s="14" t="n">
        <x:f>IFERROR((P15-AVERAGE($P$5:$P$21))/STDEV.P($P$5:$P$21),0)</x:f>
        <x:v>-0.247768267926888</x:v>
      </x:c>
      <x:c r="S15" s="14" t="n">
        <x:f>0.65*Q15+0.35*R15</x:f>
        <x:v>-0.23707514030418936</x:v>
      </x:c>
      <x:c r="T15" s="15" t="n">
        <x:v>12.9</x:v>
      </x:c>
      <x:c r="U15" s="15" t="n">
        <x:v>2.8</x:v>
      </x:c>
      <x:c r="V15" s="15" t="n">
        <x:v>2.8</x:v>
      </x:c>
      <x:c r="W15" s="14" t="n">
        <x:f>IFERROR((T15-AVERAGE($T$5:$T$21))/STDEV.P($T$5:$T$21),0)</x:f>
        <x:v>-0.976205302379801</x:v>
      </x:c>
      <x:c r="X15" s="14" t="n">
        <x:f>IFERROR((V15-AVERAGE($V$5:$V$21))/STDEV.P($V$5:$V$21),0)</x:f>
        <x:v>-0.8780167668248304</x:v>
      </x:c>
      <x:c r="Y15" s="14" t="n">
        <x:f>0.6*W15+0.4*X15</x:f>
        <x:v>-0.9369298881578128</x:v>
      </x:c>
      <x:c r="Z15" s="15" t="n">
        <x:v>916</x:v>
      </x:c>
      <x:c r="AA15" s="15"/>
      <x:c r="AB15" s="15"/>
      <x:c r="AC15" s="15"/>
      <x:c r="AD15" s="14" t="n">
        <x:v>6.82001636467413</x:v>
      </x:c>
      <x:c r="AE15" s="14" t="n">
        <x:f>IFERROR((AD15-AVERAGE($AD$5:$AD$21))/STDEV.P($AD$5:$AD$21),0)</x:f>
        <x:v>-0.413965205955935</x:v>
      </x:c>
      <x:c r="AF15" s="14" t="n">
        <x:f>-AH15+0.2*AG15</x:f>
        <x:v>-0.35</x:v>
      </x:c>
      <x:c r="AG15" s="14" t="n">
        <x:f>IFERROR((AI15-AVERAGE($AI$5:$AI$21))/STDEV.P($AI$5:$AI$21),0)</x:f>
        <x:v>0</x:v>
      </x:c>
      <x:c r="AH15" s="14" t="n">
        <x:v>0.35</x:v>
      </x:c>
      <x:c r="AI15" s="14"/>
      <x:c r="AJ15" s="14"/>
      <x:c r="AK15" s="13" t="str">
        <x:v>2026Q1</x:v>
      </x:c>
      <x:c r="AL15" s="13"/>
      <x:c r="AM15" s="13" t="str">
        <x:v>No</x:v>
      </x:c>
      <x:c r="AN15" s="10" t="str">
        <x:v>历史加速 -15.7ppt / 无forecast不扣分</x:v>
      </x:c>
      <x:c r="AO15" s="10" t="str">
        <x:v>https://www.stcn.com/article/detail/3844726.html</x:v>
      </x:c>
      <x:c r="AP15" s="10" t="str"/>
    </x:row>
    <x:row r="16">
      <x:c r="A16" s="13" t="n">
        <x:v>12</x:v>
      </x:c>
      <x:c r="B16" s="13" t="str">
        <x:v>688676</x:v>
      </x:c>
      <x:c r="C16" s="13" t="str">
        <x:v>金盘科技</x:v>
      </x:c>
      <x:c r="D16" s="13" t="str">
        <x:v>干式变压器</x:v>
      </x:c>
      <x:c r="E16" s="13" t="str">
        <x:v>Watch</x:v>
      </x:c>
      <x:c r="F16" s="13" t="n">
        <x:v>0</x:v>
      </x:c>
      <x:c r="G16" s="14" t="n">
        <x:f>IFERROR((H16-MIN($H$5:$H$21)+0.5)/(SUM($H$5:$H$21)-COUNT($H$5:$H$21)*MIN($H$5:$H$21)+0.5*COUNT($H$5:$H$21))*100,"")</x:f>
        <x:v>2.884709052554157</x:v>
      </x:c>
      <x:c r="H16" s="14" t="n">
        <x:f>$C$2*2*(N16/10)+$E$2*S16+$G$2*Y16+$I$2*AE16+$K$2*AJ16</x:f>
        <x:v>-0.18310414772779418</x:v>
      </x:c>
      <x:c r="I16" s="14" t="n">
        <x:f>$C$2*2*(N16/10)</x:f>
        <x:v>0.308</x:v>
      </x:c>
      <x:c r="J16" s="14" t="n">
        <x:f>$E$2*S16</x:f>
        <x:v>-0.18859984541854863</x:v>
      </x:c>
      <x:c r="K16" s="14" t="n">
        <x:f>$G$2*Y16</x:f>
        <x:v>-0.07895551526352923</x:v>
      </x:c>
      <x:c r="L16" s="14" t="n">
        <x:f>$I$2*AE16</x:f>
        <x:v>-0.22354878704571632</x:v>
      </x:c>
      <x:c r="M16" s="14" t="n">
        <x:f>$K$2*AJ16</x:f>
        <x:v>0</x:v>
      </x:c>
      <x:c r="N16" s="15" t="n">
        <x:v>7</x:v>
      </x:c>
      <x:c r="O16" s="15" t="n">
        <x:v>13.402829486224865</x:v>
      </x:c>
      <x:c r="P16" s="15" t="n">
        <x:v>-35.96991055273799</x:v>
      </x:c>
      <x:c r="Q16" s="14" t="n">
        <x:f>IFERROR((O16-AVERAGE($O$5:$O$21))/STDEV.P($O$5:$O$21),0)</x:f>
        <x:v>-0.6443218426664716</x:v>
      </x:c>
      <x:c r="R16" s="14" t="n">
        <x:f>IFERROR((P16-AVERAGE($P$5:$P$21))/STDEV.P($P$5:$P$21),0)</x:f>
        <x:v>-1.4976857981701044</x:v>
      </x:c>
      <x:c r="S16" s="14" t="n">
        <x:f>0.65*Q16+0.35*R16</x:f>
        <x:v>-0.9429992270927431</x:v>
      </x:c>
      <x:c r="T16" s="15" t="n">
        <x:v>25.74</x:v>
      </x:c>
      <x:c r="U16" s="15" t="n">
        <x:v>7.35</x:v>
      </x:c>
      <x:c r="V16" s="15" t="n">
        <x:v>7.35</x:v>
      </x:c>
      <x:c r="W16" s="14" t="n">
        <x:f>IFERROR((T16-AVERAGE($T$5:$T$21))/STDEV.P($T$5:$T$21),0)</x:f>
        <x:v>-0.27066893590253793</x:v>
      </x:c>
      <x:c r="X16" s="14" t="n">
        <x:f>IFERROR((V16-AVERAGE($V$5:$V$21))/STDEV.P($V$5:$V$21),0)</x:f>
        <x:v>-0.5809405369403082</x:v>
      </x:c>
      <x:c r="Y16" s="14" t="n">
        <x:f>0.6*W16+0.4*X16</x:f>
        <x:v>-0.3947775763176461</x:v>
      </x:c>
      <x:c r="Z16" s="15" t="n">
        <x:v>320</x:v>
      </x:c>
      <x:c r="AA16" s="15"/>
      <x:c r="AB16" s="15"/>
      <x:c r="AC16" s="15"/>
      <x:c r="AD16" s="14" t="n">
        <x:v>5.768320995793772</x:v>
      </x:c>
      <x:c r="AE16" s="14" t="n">
        <x:f>IFERROR((AD16-AVERAGE($AD$5:$AD$21))/STDEV.P($AD$5:$AD$21),0)</x:f>
        <x:v>-1.241937705809535</x:v>
      </x:c>
      <x:c r="AF16" s="14" t="n">
        <x:f>-AH16+0.2*AG16</x:f>
        <x:v>-0.25</x:v>
      </x:c>
      <x:c r="AG16" s="14" t="n">
        <x:f>IFERROR((AI16-AVERAGE($AI$5:$AI$21))/STDEV.P($AI$5:$AI$21),0)</x:f>
        <x:v>0</x:v>
      </x:c>
      <x:c r="AH16" s="14" t="n">
        <x:v>0.25</x:v>
      </x:c>
      <x:c r="AI16" s="14"/>
      <x:c r="AJ16" s="14"/>
      <x:c r="AK16" s="13" t="str">
        <x:v>2026Q1</x:v>
      </x:c>
      <x:c r="AL16" s="13"/>
      <x:c r="AM16" s="13" t="str">
        <x:v>No</x:v>
      </x:c>
      <x:c r="AN16" s="10" t="str">
        <x:v>历史加速 -36.0ppt / 无forecast不扣分</x:v>
      </x:c>
      <x:c r="AO16" s="10" t="str">
        <x:v>https://finance.sina.com.cn/jjxw/2026-04-24/doc-inhvqfhe4435411.shtml</x:v>
      </x:c>
      <x:c r="AP16" s="10" t="str">
        <x:v>营收+13.41% YoY; 归母+4.83% YoY</x:v>
      </x:c>
    </x:row>
    <x:row r="17">
      <x:c r="A17" s="13" t="n">
        <x:v>13</x:v>
      </x:c>
      <x:c r="B17" s="13" t="str">
        <x:v>600584</x:v>
      </x:c>
      <x:c r="C17" s="13" t="str">
        <x:v>长电科技</x:v>
      </x:c>
      <x:c r="D17" s="13" t="str">
        <x:v>先进封装</x:v>
      </x:c>
      <x:c r="E17" s="13" t="str">
        <x:v>Watch</x:v>
      </x:c>
      <x:c r="F17" s="13" t="n">
        <x:v>0</x:v>
      </x:c>
      <x:c r="G17" s="14" t="n">
        <x:f>IFERROR((H17-MIN($H$5:$H$21)+0.5)/(SUM($H$5:$H$21)-COUNT($H$5:$H$21)*MIN($H$5:$H$21)+0.5*COUNT($H$5:$H$21))*100,"")</x:f>
        <x:v>3.9892267953525407</x:v>
      </x:c>
      <x:c r="H17" s="14" t="n">
        <x:f>$C$2*2*(N17/10)+$E$2*S17+$G$2*Y17+$I$2*AE17+$K$2*AJ17</x:f>
        <x:v>0.008339377888841273</x:v>
      </x:c>
      <x:c r="I17" s="14" t="n">
        <x:f>$C$2*2*(N17/10)</x:f>
        <x:v>0.35200000000000004</x:v>
      </x:c>
      <x:c r="J17" s="14" t="n">
        <x:f>$E$2*S17</x:f>
        <x:v>-0.10695449149009498</x:v>
      </x:c>
      <x:c r="K17" s="14" t="n">
        <x:f>$G$2*Y17</x:f>
        <x:v>-0.17462581663466376</x:v>
      </x:c>
      <x:c r="L17" s="14" t="n">
        <x:f>$I$2*AE17</x:f>
        <x:v>-0.06208031398640003</x:v>
      </x:c>
      <x:c r="M17" s="14" t="n">
        <x:f>$K$2*AJ17</x:f>
        <x:v>0</x:v>
      </x:c>
      <x:c r="N17" s="15" t="n">
        <x:v>8</x:v>
      </x:c>
      <x:c r="O17" s="15" t="n">
        <x:v>-0.010903936321005059</x:v>
      </x:c>
      <x:c r="P17" s="15" t="n">
        <x:v>-9.153996579709961</x:v>
      </x:c>
      <x:c r="Q17" s="14" t="n">
        <x:f>IFERROR((O17-AVERAGE($O$5:$O$21))/STDEV.P($O$5:$O$21),0)</x:f>
        <x:v>-0.905279931676823</x:v>
      </x:c>
      <x:c r="R17" s="14" t="n">
        <x:f>IFERROR((P17-AVERAGE($P$5:$P$21))/STDEV.P($P$5:$P$21),0)</x:f>
        <x:v>0.153312851827029</x:v>
      </x:c>
      <x:c r="S17" s="14" t="n">
        <x:f>0.65*Q17+0.35*R17</x:f>
        <x:v>-0.5347724574504749</x:v>
      </x:c>
      <x:c r="T17" s="15" t="n">
        <x:v>14.55</x:v>
      </x:c>
      <x:c r="U17" s="15" t="n">
        <x:v>3.16</x:v>
      </x:c>
      <x:c r="V17" s="15" t="n">
        <x:v>3.16</x:v>
      </x:c>
      <x:c r="W17" s="14" t="n">
        <x:f>IFERROR((T17-AVERAGE($T$5:$T$21))/STDEV.P($T$5:$T$21),0)</x:f>
        <x:v>-0.8855405823885639</x:v>
      </x:c>
      <x:c r="X17" s="14" t="n">
        <x:f>IFERROR((V17-AVERAGE($V$5:$V$21))/STDEV.P($V$5:$V$21),0)</x:f>
        <x:v>-0.8545118343504507</x:v>
      </x:c>
      <x:c r="Y17" s="14" t="n">
        <x:f>0.6*W17+0.4*X17</x:f>
        <x:v>-0.8731290831733187</x:v>
      </x:c>
      <x:c r="Z17" s="15" t="n">
        <x:v>1000</x:v>
      </x:c>
      <x:c r="AA17" s="15"/>
      <x:c r="AB17" s="15"/>
      <x:c r="AC17" s="15"/>
      <x:c r="AD17" s="14" t="n">
        <x:v>6.907755278982137</x:v>
      </x:c>
      <x:c r="AE17" s="14" t="n">
        <x:f>IFERROR((AD17-AVERAGE($AD$5:$AD$21))/STDEV.P($AD$5:$AD$21),0)</x:f>
        <x:v>-0.34489063325777797</x:v>
      </x:c>
      <x:c r="AF17" s="14" t="n">
        <x:f>-AH17+0.2*AG17</x:f>
        <x:v>-0.45</x:v>
      </x:c>
      <x:c r="AG17" s="14" t="n">
        <x:f>IFERROR((AI17-AVERAGE($AI$5:$AI$21))/STDEV.P($AI$5:$AI$21),0)</x:f>
        <x:v>0</x:v>
      </x:c>
      <x:c r="AH17" s="14" t="n">
        <x:v>0.45</x:v>
      </x:c>
      <x:c r="AI17" s="14"/>
      <x:c r="AJ17" s="14"/>
      <x:c r="AK17" s="13" t="str">
        <x:v>2026Q1</x:v>
      </x:c>
      <x:c r="AL17" s="13"/>
      <x:c r="AM17" s="13" t="str">
        <x:v>No</x:v>
      </x:c>
      <x:c r="AN17" s="10" t="str">
        <x:v>历史加速 -9.2ppt / 无forecast不扣分</x:v>
      </x:c>
      <x:c r="AO17" s="10" t="str">
        <x:v>https://finance.sina.com.cn/jjxw/2026-04-29/doc-inhwckrq6871876.shtml</x:v>
      </x:c>
      <x:c r="AP17" s="10" t="str"/>
    </x:row>
    <x:row r="18">
      <x:c r="A18" s="13" t="n">
        <x:v>14</x:v>
      </x:c>
      <x:c r="B18" s="13" t="str">
        <x:v>002837</x:v>
      </x:c>
      <x:c r="C18" s="13" t="str">
        <x:v>英维克</x:v>
      </x:c>
      <x:c r="D18" s="13" t="str">
        <x:v>液冷</x:v>
      </x:c>
      <x:c r="E18" s="13" t="str">
        <x:v>Watch</x:v>
      </x:c>
      <x:c r="F18" s="13" t="n">
        <x:v>0</x:v>
      </x:c>
      <x:c r="G18" s="14" t="n">
        <x:f>IFERROR((H18-MIN($H$5:$H$21)+0.5)/(SUM($H$5:$H$21)-COUNT($H$5:$H$21)*MIN($H$5:$H$21)+0.5*COUNT($H$5:$H$21))*100,"")</x:f>
        <x:v>3.4599139283043248</x:v>
      </x:c>
      <x:c r="H18" s="14" t="n">
        <x:f>$C$2*2*(N18/10)+$E$2*S18+$G$2*Y18+$I$2*AE18+$K$2*AJ18</x:f>
        <x:v>-0.08340520664379225</x:v>
      </x:c>
      <x:c r="I18" s="14" t="n">
        <x:f>$C$2*2*(N18/10)</x:f>
        <x:v>0.308</x:v>
      </x:c>
      <x:c r="J18" s="14" t="n">
        <x:f>$E$2*S18</x:f>
        <x:v>-0.14200773102518296</x:v>
      </x:c>
      <x:c r="K18" s="14" t="n">
        <x:f>$G$2*Y18</x:f>
        <x:v>-0.123185650999599</x:v>
      </x:c>
      <x:c r="L18" s="14" t="n">
        <x:f>$I$2*AE18</x:f>
        <x:v>-0.1262118246190103</x:v>
      </x:c>
      <x:c r="M18" s="14" t="n">
        <x:f>$K$2*AJ18</x:f>
        <x:v>0</x:v>
      </x:c>
      <x:c r="N18" s="15" t="n">
        <x:v>7</x:v>
      </x:c>
      <x:c r="O18" s="15" t="n">
        <x:v>26.4737406216506</x:v>
      </x:c>
      <x:c r="P18" s="15" t="n">
        <x:v>-32.82945247794801</x:v>
      </x:c>
      <x:c r="Q18" s="14" t="n">
        <x:f>IFERROR((O18-AVERAGE($O$5:$O$21))/STDEV.P($O$5:$O$21),0)</x:f>
        <x:v>-0.3900332054857401</x:v>
      </x:c>
      <x:c r="R18" s="14" t="n">
        <x:f>IFERROR((P18-AVERAGE($P$5:$P$21))/STDEV.P($P$5:$P$21),0)</x:f>
        <x:v>-1.3043344901719536</x:v>
      </x:c>
      <x:c r="S18" s="14" t="n">
        <x:f>0.65*Q18+0.35*R18</x:f>
        <x:v>-0.7100386551259148</x:v>
      </x:c>
      <x:c r="T18" s="15" t="n">
        <x:v>24.3</x:v>
      </x:c>
      <x:c r="U18" s="15" t="n">
        <x:v>0.7</x:v>
      </x:c>
      <x:c r="V18" s="15" t="n">
        <x:v>0.7</x:v>
      </x:c>
      <x:c r="W18" s="14" t="n">
        <x:f>IFERROR((T18-AVERAGE($T$5:$T$21))/STDEV.P($T$5:$T$21),0)</x:f>
        <x:v>-0.349794509713072</x:v>
      </x:c>
      <x:c r="X18" s="14" t="n">
        <x:f>IFERROR((V18-AVERAGE($V$5:$V$21))/STDEV.P($V$5:$V$21),0)</x:f>
        <x:v>-1.0151288729253793</x:v>
      </x:c>
      <x:c r="Y18" s="14" t="n">
        <x:f>0.6*W18+0.4*X18</x:f>
        <x:v>-0.615928254997995</x:v>
      </x:c>
      <x:c r="Z18" s="15" t="n">
        <x:v>636</x:v>
      </x:c>
      <x:c r="AA18" s="15"/>
      <x:c r="AB18" s="15"/>
      <x:c r="AC18" s="15"/>
      <x:c r="AD18" s="14" t="n">
        <x:v>6.455198563340122</x:v>
      </x:c>
      <x:c r="AE18" s="14" t="n">
        <x:f>IFERROR((AD18-AVERAGE($AD$5:$AD$21))/STDEV.P($AD$5:$AD$21),0)</x:f>
        <x:v>-0.7011768034389461</x:v>
      </x:c>
      <x:c r="AF18" s="14" t="n">
        <x:f>-AH18+0.2*AG18</x:f>
        <x:v>-0.4</x:v>
      </x:c>
      <x:c r="AG18" s="14" t="n">
        <x:f>IFERROR((AI18-AVERAGE($AI$5:$AI$21))/STDEV.P($AI$5:$AI$21),0)</x:f>
        <x:v>0</x:v>
      </x:c>
      <x:c r="AH18" s="14" t="n">
        <x:v>0.4</x:v>
      </x:c>
      <x:c r="AI18" s="14"/>
      <x:c r="AJ18" s="14"/>
      <x:c r="AK18" s="13" t="str">
        <x:v>2026Q1</x:v>
      </x:c>
      <x:c r="AL18" s="13"/>
      <x:c r="AM18" s="13" t="str">
        <x:v>No</x:v>
      </x:c>
      <x:c r="AN18" s="10" t="str">
        <x:v>历史加速 -32.8ppt / 无forecast不扣分</x:v>
      </x:c>
      <x:c r="AO18" s="10" t="str">
        <x:v>https://stock.stockstar.com/RB2026042200011660.shtml</x:v>
      </x:c>
      <x:c r="AP18" s="10" t="str"/>
    </x:row>
    <x:row r="19">
      <x:c r="A19" s="13" t="n">
        <x:v>15</x:v>
      </x:c>
      <x:c r="B19" s="13" t="str">
        <x:v>002409</x:v>
      </x:c>
      <x:c r="C19" s="13" t="str">
        <x:v>雅克科技</x:v>
      </x:c>
      <x:c r="D19" s="13" t="str">
        <x:v>HBM 材料</x:v>
      </x:c>
      <x:c r="E19" s="13" t="str">
        <x:v>Watch</x:v>
      </x:c>
      <x:c r="F19" s="13" t="n">
        <x:v>0</x:v>
      </x:c>
      <x:c r="G19" s="14" t="n">
        <x:f>IFERROR((H19-MIN($H$5:$H$21)+0.5)/(SUM($H$5:$H$21)-COUNT($H$5:$H$21)*MIN($H$5:$H$21)+0.5*COUNT($H$5:$H$21))*100,"")</x:f>
        <x:v>3.958328240890572</x:v>
      </x:c>
      <x:c r="H19" s="14" t="n">
        <x:f>$C$2*2*(N19/10)+$E$2*S19+$G$2*Y19+$I$2*AE19+$K$2*AJ19</x:f>
        <x:v>0.002983802352616749</x:v>
      </x:c>
      <x:c r="I19" s="14" t="n">
        <x:f>$C$2*2*(N19/10)</x:f>
        <x:v>0.308</x:v>
      </x:c>
      <x:c r="J19" s="14" t="n">
        <x:f>$E$2*S19</x:f>
        <x:v>-0.10291834289363658</x:v>
      </x:c>
      <x:c r="K19" s="14" t="n">
        <x:f>$G$2*Y19</x:f>
        <x:v>-0.010170591682995974</x:v>
      </x:c>
      <x:c r="L19" s="14" t="n">
        <x:f>$I$2*AE19</x:f>
        <x:v>-0.1919272630707507</x:v>
      </x:c>
      <x:c r="M19" s="14" t="n">
        <x:f>$K$2*AJ19</x:f>
        <x:v>0</x:v>
      </x:c>
      <x:c r="N19" s="15" t="n">
        <x:v>7</x:v>
      </x:c>
      <x:c r="O19" s="15" t="n">
        <x:v>45.925925925925924</x:v>
      </x:c>
      <x:c r="P19" s="15" t="n">
        <x:v>-35.17458979902937</x:v>
      </x:c>
      <x:c r="Q19" s="14" t="n">
        <x:f>IFERROR((O19-AVERAGE($O$5:$O$21))/STDEV.P($O$5:$O$21),0)</x:f>
        <x:v>-0.011599778774962051</x:v>
      </x:c>
      <x:c r="R19" s="14" t="n">
        <x:f>IFERROR((P19-AVERAGE($P$5:$P$21))/STDEV.P($P$5:$P$21),0)</x:f>
        <x:v>-1.4487195950413072</x:v>
      </x:c>
      <x:c r="S19" s="14" t="n">
        <x:f>0.65*Q19+0.35*R19</x:f>
        <x:v>-0.5145917144681829</x:v>
      </x:c>
      <x:c r="T19" s="15" t="n">
        <x:v>31.3</x:v>
      </x:c>
      <x:c r="U19" s="15" t="n">
        <x:v>13.5</x:v>
      </x:c>
      <x:c r="V19" s="15" t="n">
        <x:v>13.5</x:v>
      </x:c>
      <x:c r="W19" s="14" t="n">
        <x:f>IFERROR((T19-AVERAGE($T$5:$T$21))/STDEV.P($T$5:$T$21),0)</x:f>
        <x:v>0.034843696310358115</x:v>
      </x:c>
      <x:c r="X19" s="14" t="n">
        <x:f>IFERROR((V19-AVERAGE($V$5:$V$21))/STDEV.P($V$5:$V$21),0)</x:f>
        <x:v>-0.17939794050298682</x:v>
      </x:c>
      <x:c r="Y19" s="14" t="n">
        <x:f>0.6*W19+0.4*X19</x:f>
        <x:v>-0.05085295841497987</x:v>
      </x:c>
      <x:c r="Z19" s="15" t="n">
        <x:v>400</x:v>
      </x:c>
      <x:c r="AA19" s="15"/>
      <x:c r="AB19" s="15"/>
      <x:c r="AC19" s="15"/>
      <x:c r="AD19" s="14" t="n">
        <x:v>5.991464547107982</x:v>
      </x:c>
      <x:c r="AE19" s="14" t="n">
        <x:f>IFERROR((AD19-AVERAGE($AD$5:$AD$21))/STDEV.P($AD$5:$AD$21),0)</x:f>
        <x:v>-1.0662625726152817</x:v>
      </x:c>
      <x:c r="AF19" s="14" t="n">
        <x:f>-AH19+0.2*AG19</x:f>
        <x:v>-0.6223750000000001</x:v>
      </x:c>
      <x:c r="AG19" s="14" t="n">
        <x:f>IFERROR((AI19-AVERAGE($AI$5:$AI$21))/STDEV.P($AI$5:$AI$21),0)</x:f>
        <x:v>0</x:v>
      </x:c>
      <x:c r="AH19" s="14" t="n">
        <x:v>0.6223750000000001</x:v>
      </x:c>
      <x:c r="AI19" s="14"/>
      <x:c r="AJ19" s="14"/>
      <x:c r="AK19" s="13" t="str">
        <x:v>2026Q1</x:v>
      </x:c>
      <x:c r="AL19" s="13"/>
      <x:c r="AM19" s="13" t="str">
        <x:v>No</x:v>
      </x:c>
      <x:c r="AN19" s="10" t="str">
        <x:v>历史加速 -35.2ppt / 无forecast不扣分</x:v>
      </x:c>
      <x:c r="AO19" s="10" t="str">
        <x:v>https://news.qq.com/rain/a/20260429A02A0N00</x:v>
      </x:c>
      <x:c r="AP19" s="10" t="str"/>
    </x:row>
    <x:row r="20">
      <x:c r="A20" s="13" t="n">
        <x:v>16</x:v>
      </x:c>
      <x:c r="B20" s="13" t="str">
        <x:v>002261</x:v>
      </x:c>
      <x:c r="C20" s="13" t="str">
        <x:v>拓维信息</x:v>
      </x:c>
      <x:c r="D20" s="13" t="str">
        <x:v>昇腾整机</x:v>
      </x:c>
      <x:c r="E20" s="13" t="str">
        <x:v>Watch</x:v>
      </x:c>
      <x:c r="F20" s="13" t="n">
        <x:v>0</x:v>
      </x:c>
      <x:c r="G20" s="14" t="n">
        <x:f>IFERROR((H20-MIN($H$5:$H$21)+0.5)/(SUM($H$5:$H$21)-COUNT($H$5:$H$21)*MIN($H$5:$H$21)+0.5*COUNT($H$5:$H$21))*100,"")</x:f>
        <x:v>3.6713885065848917</x:v>
      </x:c>
      <x:c r="H20" s="14" t="n">
        <x:f>$C$2*2*(N20/10)+$E$2*S20+$G$2*Y20+$I$2*AE20+$K$2*AJ20</x:f>
        <x:v>-0.04675080330052872</x:v>
      </x:c>
      <x:c r="I20" s="14" t="n">
        <x:f>$C$2*2*(N20/10)</x:f>
        <x:v>0.396</x:v>
      </x:c>
      <x:c r="J20" s="14" t="n">
        <x:f>$E$2*S20</x:f>
        <x:v>-0.13840213415901698</x:v>
      </x:c>
      <x:c r="K20" s="14" t="n">
        <x:f>$G$2*Y20</x:f>
        <x:v>-0.11933542772605753</x:v>
      </x:c>
      <x:c r="L20" s="14" t="n">
        <x:f>$I$2*AE20</x:f>
        <x:v>-0.18501324141545422</x:v>
      </x:c>
      <x:c r="M20" s="14" t="n">
        <x:f>$K$2*AJ20</x:f>
        <x:v>0</x:v>
      </x:c>
      <x:c r="N20" s="15" t="n">
        <x:v>9</x:v>
      </x:c>
      <x:c r="O20" s="15" t="n">
        <x:v>-5.296950240770471</x:v>
      </x:c>
      <x:c r="P20" s="15" t="n">
        <x:v>-13.348844940418275</x:v>
      </x:c>
      <x:c r="Q20" s="14" t="n">
        <x:f>IFERROR((O20-AVERAGE($O$5:$O$21))/STDEV.P($O$5:$O$21),0)</x:f>
        <x:v>-1.0081175607377075</x:v>
      </x:c>
      <x:c r="R20" s="14" t="n">
        <x:f>IFERROR((P20-AVERAGE($P$5:$P$21))/STDEV.P($P$5:$P$21),0)</x:f>
        <x:v>-0.10495501804449975</x:v>
      </x:c>
      <x:c r="S20" s="14" t="n">
        <x:f>0.65*Q20+0.35*R20</x:f>
        <x:v>-0.6920106707950848</x:v>
      </x:c>
      <x:c r="T20" s="15" t="n">
        <x:v>17.2</x:v>
      </x:c>
      <x:c r="U20" s="15" t="n">
        <x:v>10.4</x:v>
      </x:c>
      <x:c r="V20" s="15" t="n">
        <x:v>10.4</x:v>
      </x:c>
      <x:c r="W20" s="14" t="n">
        <x:f>IFERROR((T20-AVERAGE($T$5:$T$21))/STDEV.P($T$5:$T$21),0)</x:f>
        <x:v>-0.7399275472511226</x:v>
      </x:c>
      <x:c r="X20" s="14" t="n">
        <x:f>IFERROR((V20-AVERAGE($V$5:$V$21))/STDEV.P($V$5:$V$21),0)</x:f>
        <x:v>-0.38180152569903497</x:v>
      </x:c>
      <x:c r="Y20" s="14" t="n">
        <x:f>0.6*W20+0.4*X20</x:f>
        <x:v>-0.5966771386302876</x:v>
      </x:c>
      <x:c r="Z20" s="15" t="n">
        <x:v>420</x:v>
      </x:c>
      <x:c r="AA20" s="15"/>
      <x:c r="AB20" s="15"/>
      <x:c r="AC20" s="15"/>
      <x:c r="AD20" s="14" t="n">
        <x:v>6.040254711277414</x:v>
      </x:c>
      <x:c r="AE20" s="14" t="n">
        <x:f>IFERROR((AD20-AVERAGE($AD$5:$AD$21))/STDEV.P($AD$5:$AD$21),0)</x:f>
        <x:v>-1.0278513411969679</x:v>
      </x:c>
      <x:c r="AF20" s="14" t="n">
        <x:f>-AH20+0.2*AG20</x:f>
        <x:v>-0.685125</x:v>
      </x:c>
      <x:c r="AG20" s="14" t="n">
        <x:f>IFERROR((AI20-AVERAGE($AI$5:$AI$21))/STDEV.P($AI$5:$AI$21),0)</x:f>
        <x:v>0</x:v>
      </x:c>
      <x:c r="AH20" s="14" t="n">
        <x:v>0.685125</x:v>
      </x:c>
      <x:c r="AI20" s="14"/>
      <x:c r="AJ20" s="14"/>
      <x:c r="AK20" s="13" t="str">
        <x:v>2026Q1</x:v>
      </x:c>
      <x:c r="AL20" s="13"/>
      <x:c r="AM20" s="13" t="str">
        <x:v>No</x:v>
      </x:c>
      <x:c r="AN20" s="10" t="str">
        <x:v>历史加速 -13.3ppt / 无forecast不扣分</x:v>
      </x:c>
      <x:c r="AO20" s="10" t="str">
        <x:v>https://stock.stockstar.com/RB2026042900027382.shtml</x:v>
      </x:c>
      <x:c r="AP20" s="10" t="str"/>
    </x:row>
    <x:row r="21">
      <x:c r="A21" s="13" t="n">
        <x:v>17</x:v>
      </x:c>
      <x:c r="B21" s="13" t="str">
        <x:v>300604</x:v>
      </x:c>
      <x:c r="C21" s="13" t="str">
        <x:v>长川科技</x:v>
      </x:c>
      <x:c r="D21" s="13" t="str">
        <x:v>测试设备</x:v>
      </x:c>
      <x:c r="E21" s="13" t="str">
        <x:v>Watch</x:v>
      </x:c>
      <x:c r="F21" s="13" t="n">
        <x:v>0</x:v>
      </x:c>
      <x:c r="G21" s="14" t="n">
        <x:f>IFERROR((H21-MIN($H$5:$H$21)+0.5)/(SUM($H$5:$H$21)-COUNT($H$5:$H$21)*MIN($H$5:$H$21)+0.5*COUNT($H$5:$H$21))*100,"")</x:f>
        <x:v>5.555727570625134</x:v>
      </x:c>
      <x:c r="H21" s="14" t="n">
        <x:f>$C$2*2*(N21/10)+$E$2*S21+$G$2*Y21+$I$2*AE21+$K$2*AJ21</x:f>
        <x:v>0.2798573623257109</x:v>
      </x:c>
      <x:c r="I21" s="14" t="n">
        <x:f>$C$2*2*(N21/10)</x:f>
        <x:v>0.308</x:v>
      </x:c>
      <x:c r="J21" s="14" t="n">
        <x:f>$E$2*S21</x:f>
        <x:v>-0.052536471687327946</x:v>
      </x:c>
      <x:c r="K21" s="14" t="n">
        <x:f>$G$2*Y21</x:f>
        <x:v>0.2235898356544461</x:v>
      </x:c>
      <x:c r="L21" s="14" t="n">
        <x:f>$I$2*AE21</x:f>
        <x:v>-0.1991960016414073</x:v>
      </x:c>
      <x:c r="M21" s="14" t="n">
        <x:f>$K$2*AJ21</x:f>
        <x:v>0</x:v>
      </x:c>
      <x:c r="N21" s="15" t="n">
        <x:v>7</x:v>
      </x:c>
      <x:c r="O21" s="15" t="n">
        <x:v>69.07975460122697</x:v>
      </x:c>
      <x:c r="P21" s="15" t="n">
        <x:v>-37.07174520677615</x:v>
      </x:c>
      <x:c r="Q21" s="14" t="n">
        <x:f>IFERROR((O21-AVERAGE($O$5:$O$21))/STDEV.P($O$5:$O$21),0)</x:f>
        <x:v>0.4388474378235062</x:v>
      </x:c>
      <x:c r="R21" s="14" t="n">
        <x:f>IFERROR((P21-AVERAGE($P$5:$P$21))/STDEV.P($P$5:$P$21),0)</x:f>
        <x:v>-1.565523408634054</x:v>
      </x:c>
      <x:c r="S21" s="14" t="n">
        <x:f>0.65*Q21+0.35*R21</x:f>
        <x:v>-0.26268235843663973</x:v>
      </x:c>
      <x:c r="T21" s="15" t="n">
        <x:v>56.81</x:v>
      </x:c>
      <x:c r="U21" s="15" t="n">
        <x:v>26.05</x:v>
      </x:c>
      <x:c r="V21" s="15" t="n">
        <x:v>26.05</x:v>
      </x:c>
      <x:c r="W21" s="14" t="n">
        <x:f>IFERROR((T21-AVERAGE($T$5:$T$21))/STDEV.P($T$5:$T$21),0)</x:f>
        <x:v>1.43657521569003</x:v>
      </x:c>
      <x:c r="X21" s="14" t="n">
        <x:f>IFERROR((V21-AVERAGE($V$5:$V$21))/STDEV.P($V$5:$V$21),0)</x:f>
        <x:v>0.6400101221455309</x:v>
      </x:c>
      <x:c r="Y21" s="14" t="n">
        <x:f>0.6*W21+0.4*X21</x:f>
        <x:v>1.1179491782722304</x:v>
      </x:c>
      <x:c r="Z21" s="15" t="n">
        <x:v>380</x:v>
      </x:c>
      <x:c r="AA21" s="15"/>
      <x:c r="AB21" s="15"/>
      <x:c r="AC21" s="15"/>
      <x:c r="AD21" s="14" t="n">
        <x:v>5.940171252720432</x:v>
      </x:c>
      <x:c r="AE21" s="14" t="n">
        <x:f>IFERROR((AD21-AVERAGE($AD$5:$AD$21))/STDEV.P($AD$5:$AD$21),0)</x:f>
        <x:v>-1.106644453563374</x:v>
      </x:c>
      <x:c r="AF21" s="14" t="n">
        <x:f>-AH21+0.2*AG21</x:f>
        <x:v>-1.2676</x:v>
      </x:c>
      <x:c r="AG21" s="14" t="n">
        <x:f>IFERROR((AI21-AVERAGE($AI$5:$AI$21))/STDEV.P($AI$5:$AI$21),0)</x:f>
        <x:v>0</x:v>
      </x:c>
      <x:c r="AH21" s="14" t="n">
        <x:v>1.2676</x:v>
      </x:c>
      <x:c r="AI21" s="14"/>
      <x:c r="AJ21" s="14"/>
      <x:c r="AK21" s="13" t="str">
        <x:v>2026Q1</x:v>
      </x:c>
      <x:c r="AL21" s="13"/>
      <x:c r="AM21" s="13" t="str">
        <x:v>No</x:v>
      </x:c>
      <x:c r="AN21" s="10" t="str">
        <x:v>历史加速 -37.1ppt / 无forecast不扣分</x:v>
      </x:c>
      <x:c r="AO21" s="10" t="str">
        <x:v>https://stock.stockstar.com/RB2026042600003756.shtml</x:v>
      </x:c>
      <x:c r="AP21" s="10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1.220001220703125" hidden="0" customWidth="1"/>
    <x:col min="2" max="2" width="7.559999942779541" hidden="0" customWidth="1"/>
    <x:col min="3" max="3" width="16.670000076293945" hidden="0" customWidth="1"/>
    <x:col min="4" max="4" width="17.329999923706055" hidden="0" customWidth="1"/>
    <x:col min="5" max="5" width="12.779999732971191" hidden="0" customWidth="1"/>
    <x:col min="6" max="6" width="15" hidden="0" customWidth="1"/>
    <x:col min="7" max="7" width="13.220000267028809" hidden="0" customWidth="1"/>
    <x:col min="8" max="8" width="14" hidden="0" customWidth="1"/>
    <x:col min="9" max="9" width="10.890000343322754" hidden="0" customWidth="1"/>
    <x:col min="10" max="10" width="12.4399995803833" hidden="0" customWidth="1"/>
    <x:col min="11" max="11" width="11" hidden="0" customWidth="1"/>
    <x:col min="12" max="12" width="14.109999656677246" hidden="0" customWidth="1"/>
    <x:col min="13" max="13" width="10.109999656677246" hidden="0" customWidth="1"/>
    <x:col min="14" max="14" width="10.4399995803833" hidden="0" customWidth="1"/>
    <x:col min="15" max="15" width="12.779999732971191" hidden="0" customWidth="1"/>
    <x:col min="16" max="16" width="19.440000534057617" hidden="0" customWidth="1"/>
    <x:col min="17" max="17" width="12.220000267028809" hidden="0" customWidth="1"/>
    <x:col min="18" max="18" width="10.890000343322754" hidden="0" customWidth="1"/>
    <x:col min="19" max="19" width="13.220000267028809" hidden="0" customWidth="1"/>
    <x:col min="20" max="20" width="10.5600004196167" hidden="0" customWidth="1"/>
    <x:col min="21" max="21" width="10.5600004196167" hidden="0" customWidth="1"/>
    <x:col min="22" max="22" width="11.670000076293945" hidden="0" customWidth="1"/>
    <x:col min="23" max="23" width="4.78000020980835" hidden="0" customWidth="1"/>
    <x:col min="24" max="24" width="4.670000076293945" hidden="0" customWidth="1"/>
    <x:col min="25" max="25" width="11.779999732971191" hidden="0" customWidth="1"/>
    <x:col min="26" max="26" width="9.5600004196167" hidden="0" customWidth="1"/>
    <x:col min="27" max="27" width="7.110000133514404" hidden="0" customWidth="1"/>
    <x:col min="28" max="28" width="11.5600004196167" hidden="0" customWidth="1"/>
    <x:col min="29" max="29" width="11.109999656677246" hidden="0" customWidth="1"/>
    <x:col min="30" max="30" width="11.779999732971191" hidden="0" customWidth="1"/>
    <x:col min="31" max="31" width="9.4399995803833" hidden="0" customWidth="1"/>
    <x:col min="32" max="32" width="9.4399995803833" hidden="0" customWidth="1"/>
    <x:col min="33" max="33" width="12.329999923706055" hidden="0" customWidth="1"/>
    <x:col min="34" max="34" width="11.109999656677246" hidden="0" customWidth="1"/>
    <x:col min="35" max="35" width="7.78000020980835" hidden="0" customWidth="1"/>
    <x:col min="36" max="36" width="5.440000057220459" hidden="0" customWidth="1"/>
    <x:col min="37" max="37" width="11.779999732971191" hidden="0" customWidth="1"/>
    <x:col min="38" max="38" width="10.779999732971191" hidden="0" customWidth="1"/>
    <x:col min="39" max="39" width="26.670000076293945" hidden="0" customWidth="1"/>
    <x:col min="40" max="40" width="26.670000076293945" hidden="0" customWidth="1"/>
    <x:col min="41" max="41" width="26.670000076293945" hidden="0" customWidth="1"/>
    <x:col min="42" max="42" width="26.670000076293945" hidden="0" customWidth="1"/>
  </x:cols>
  <x:sheetData>
    <x:row r="1">
      <x:c r="A1" s="11" t="str">
        <x:v>US Detail - Factor Calculation Detail</x:v>
      </x:c>
    </x:row>
    <x:row r="2">
      <x:c r="A2" s="12" t="str">
        <x:v>Weights</x:v>
      </x:c>
      <x:c r="B2" s="12" t="str">
        <x:v>Strategic</x:v>
      </x:c>
      <x:c r="C2" s="12" t="n">
        <x:v>0.22</x:v>
      </x:c>
      <x:c r="D2" s="12" t="str">
        <x:v>Growth</x:v>
      </x:c>
      <x:c r="E2" s="12" t="n">
        <x:v>0.2</x:v>
      </x:c>
      <x:c r="F2" s="12" t="str">
        <x:v>Profit</x:v>
      </x:c>
      <x:c r="G2" s="12" t="n">
        <x:v>0.2</x:v>
      </x:c>
      <x:c r="H2" s="12" t="str">
        <x:v>Durability</x:v>
      </x:c>
      <x:c r="I2" s="12" t="n">
        <x:v>0.18</x:v>
      </x:c>
      <x:c r="J2" s="12" t="str">
        <x:v>Risk</x:v>
      </x:c>
      <x:c r="K2" s="12" t="n">
        <x:v>0.2</x:v>
      </x:c>
    </x:row>
    <x:row r="4">
      <x:c r="A4" s="5" t="str">
        <x:v>Rank</x:v>
      </x:c>
      <x:c r="B4" s="5" t="str">
        <x:v>Code</x:v>
      </x:c>
      <x:c r="C4" s="5" t="str">
        <x:v>Name</x:v>
      </x:c>
      <x:c r="D4" s="5" t="str">
        <x:v>Category</x:v>
      </x:c>
      <x:c r="E4" s="5" t="str">
        <x:v>Portfolio Sleeve</x:v>
      </x:c>
      <x:c r="F4" s="5" t="str">
        <x:v>Portfolio Weight %</x:v>
      </x:c>
      <x:c r="G4" s="5" t="str">
        <x:v>Model Weight %</x:v>
      </x:c>
      <x:c r="H4" s="5" t="str">
        <x:v>Composite Score</x:v>
      </x:c>
      <x:c r="I4" s="5" t="str">
        <x:v>Topic Contrib</x:v>
      </x:c>
      <x:c r="J4" s="5" t="str">
        <x:v>Growth Contrib</x:v>
      </x:c>
      <x:c r="K4" s="5" t="str">
        <x:v>Profit Contrib</x:v>
      </x:c>
      <x:c r="L4" s="5" t="str">
        <x:v>Durability Contrib</x:v>
      </x:c>
      <x:c r="M4" s="5" t="str">
        <x:v>Risk Contrib</x:v>
      </x:c>
      <x:c r="N4" s="5" t="str">
        <x:v>Strategic /10</x:v>
      </x:c>
      <x:c r="O4" s="5" t="str">
        <x:v>Revenue YoY %</x:v>
      </x:c>
      <x:c r="P4" s="5" t="str">
        <x:v>Growth Momentum Raw</x:v>
      </x:c>
      <x:c r="Q4" s="5" t="str">
        <x:v>Revenue YoY Z</x:v>
      </x:c>
      <x:c r="R4" s="5" t="str">
        <x:v>Momentum Z</x:v>
      </x:c>
      <x:c r="S4" s="5" t="str">
        <x:v>Growth Factor Z</x:v>
      </x:c>
      <x:c r="T4" s="5" t="str">
        <x:v>Latest GM %</x:v>
      </x:c>
      <x:c r="U4" s="5" t="str">
        <x:v>Latest NM %</x:v>
      </x:c>
      <x:c r="V4" s="5" t="str">
        <x:v>NM Clipped %</x:v>
      </x:c>
      <x:c r="W4" s="5" t="str">
        <x:v>GM Z</x:v>
      </x:c>
      <x:c r="X4" s="5" t="str">
        <x:v>NM Z</x:v>
      </x:c>
      <x:c r="Y4" s="5" t="str">
        <x:v>Profit Factor Z</x:v>
      </x:c>
      <x:c r="Z4" s="5" t="str">
        <x:v>Market Cap</x:v>
      </x:c>
      <x:c r="AA4" s="5" t="str">
        <x:v>FCF ($B)</x:v>
      </x:c>
      <x:c r="AB4" s="5" t="str">
        <x:v>FCF Margin %</x:v>
      </x:c>
      <x:c r="AC4" s="5" t="str">
        <x:v>Net Cash ($B)</x:v>
      </x:c>
      <x:c r="AD4" s="5" t="str">
        <x:v>Durability Raw</x:v>
      </x:c>
      <x:c r="AE4" s="5" t="str">
        <x:v>Durability Z</x:v>
      </x:c>
      <x:c r="AF4" s="5" t="str">
        <x:v>Turnover %</x:v>
      </x:c>
      <x:c r="AG4" s="5" t="str">
        <x:v>Turnover Score</x:v>
      </x:c>
      <x:c r="AH4" s="5" t="str">
        <x:v>Cycle Penalty</x:v>
      </x:c>
      <x:c r="AI4" s="5" t="str">
        <x:v>Risk Raw</x:v>
      </x:c>
      <x:c r="AJ4" s="5" t="str">
        <x:v>Risk Z</x:v>
      </x:c>
      <x:c r="AK4" s="5" t="str">
        <x:v>Latest Quarter</x:v>
      </x:c>
      <x:c r="AL4" s="5" t="str">
        <x:v>Forecast Rev</x:v>
      </x:c>
      <x:c r="AM4" s="5" t="str">
        <x:v>Forecast Used</x:v>
      </x:c>
      <x:c r="AN4" s="5" t="str">
        <x:v>Momentum Label</x:v>
      </x:c>
      <x:c r="AO4" s="5" t="str">
        <x:v>Latest Source URL</x:v>
      </x:c>
      <x:c r="AP4" s="5" t="str">
        <x:v>Latest Source Note</x:v>
      </x:c>
    </x:row>
    <x:row r="5">
      <x:c r="A5" s="13" t="n">
        <x:v>1</x:v>
      </x:c>
      <x:c r="B5" s="13" t="str">
        <x:v>NVDA</x:v>
      </x:c>
      <x:c r="C5" s="13" t="str">
        <x:v>Nvidia</x:v>
      </x:c>
      <x:c r="D5" s="13" t="str">
        <x:v>核心 AI 芯片</x:v>
      </x:c>
      <x:c r="E5" s="13" t="str">
        <x:v>Core 80%</x:v>
      </x:c>
      <x:c r="F5" s="13" t="n">
        <x:v>16</x:v>
      </x:c>
      <x:c r="G5" s="14" t="n">
        <x:f>IFERROR((H5-MIN($H$5:$H$65)+0.5)/(SUM($H$5:$H$65)-COUNT($H$5:$H$65)*MIN($H$5:$H$65)+0.5*COUNT($H$5:$H$65))*100,"")</x:f>
        <x:v>2.9443555034475732</x:v>
      </x:c>
      <x:c r="H5" s="14" t="n">
        <x:f>$C$2*2*(N5/10)+$E$2*S5+$G$2*Y5+$I$2*AE5+$K$2*AJ5</x:f>
        <x:v>1.2001054677137644</x:v>
      </x:c>
      <x:c r="I5" s="14" t="n">
        <x:f>$C$2*2*(N5/10)</x:f>
        <x:v>0.44</x:v>
      </x:c>
      <x:c r="J5" s="14" t="n">
        <x:f>$E$2*S5</x:f>
        <x:v>0.17609463259413746</x:v>
      </x:c>
      <x:c r="K5" s="14" t="n">
        <x:f>$G$2*Y5</x:f>
        <x:v>0.27131080235293953</x:v>
      </x:c>
      <x:c r="L5" s="14" t="n">
        <x:f>$I$2*AE5</x:f>
        <x:v>0.31270003276668745</x:v>
      </x:c>
      <x:c r="M5" s="14" t="n">
        <x:f>$K$2*AJ5</x:f>
        <x:v>0</x:v>
      </x:c>
      <x:c r="N5" s="15" t="n">
        <x:v>10</x:v>
      </x:c>
      <x:c r="O5" s="15" t="n">
        <x:v>107.68447837150129</x:v>
      </x:c>
      <x:c r="P5" s="15" t="n">
        <x:v>4.940729837088099</x:v>
      </x:c>
      <x:c r="Q5" s="14" t="n">
        <x:f>IFERROR((O5-AVERAGE($O$5:$O$65))/STDEV.P($O$5:$O$65),0)</x:f>
        <x:v>1.3592617960203985</x:v>
      </x:c>
      <x:c r="R5" s="14" t="n">
        <x:f>IFERROR((P5-AVERAGE($P$5:$P$65))/STDEV.P($P$5:$P$65),0)</x:f>
        <x:v>-0.008705726978776737</x:v>
      </x:c>
      <x:c r="S5" s="14" t="n">
        <x:f>0.65*Q5+0.35*R5</x:f>
        <x:v>0.8804731629706872</x:v>
      </x:c>
      <x:c r="T5" s="15" t="n">
        <x:v>74.9</x:v>
      </x:c>
      <x:c r="U5" s="15" t="n">
        <x:v>71.5</x:v>
      </x:c>
      <x:c r="V5" s="15" t="n">
        <x:v>60</x:v>
      </x:c>
      <x:c r="W5" s="14" t="n">
        <x:f>IFERROR((T5-AVERAGE($T$5:$T$65))/STDEV.P($T$5:$T$65),0)</x:f>
        <x:v>1.047984393241141</x:v>
      </x:c>
      <x:c r="X5" s="14" t="n">
        <x:f>IFERROR((V5-AVERAGE($V$5:$V$65))/STDEV.P($V$5:$V$65),0)</x:f>
        <x:v>1.819408439550033</x:v>
      </x:c>
      <x:c r="Y5" s="14" t="n">
        <x:f>0.6*W5+0.4*X5</x:f>
        <x:v>1.3565540117646977</x:v>
      </x:c>
      <x:c r="Z5" s="15" t="n">
        <x:v>53900</x:v>
      </x:c>
      <x:c r="AA5" s="15" t="n">
        <x:v>27.021</x:v>
      </x:c>
      <x:c r="AB5" s="15" t="n">
        <x:v>8.28</x:v>
      </x:c>
      <x:c r="AC5" s="15" t="n">
        <x:v>2.137</x:v>
      </x:c>
      <x:c r="AD5" s="14" t="n">
        <x:v>12.157455403101094</x:v>
      </x:c>
      <x:c r="AE5" s="14" t="n">
        <x:f>IFERROR((AD5-AVERAGE($AD$5:$AD$65))/STDEV.P($AD$5:$AD$65),0)</x:f>
        <x:v>1.7372224042593747</x:v>
      </x:c>
      <x:c r="AF5" s="14" t="n">
        <x:f>-AH5+0.2*AG5</x:f>
        <x:v>-0.4520509966072944</x:v>
      </x:c>
      <x:c r="AG5" s="14" t="n">
        <x:f>IFERROR((AI5-AVERAGE($AI$5:$AI$65))/STDEV.P($AI$5:$AI$65),0)</x:f>
        <x:v>0</x:v>
      </x:c>
      <x:c r="AH5" s="14" t="n">
        <x:v>0.4520509966072944</x:v>
      </x:c>
      <x:c r="AI5" s="14"/>
      <x:c r="AJ5" s="14"/>
      <x:c r="AK5" s="13" t="str">
        <x:v>2026Q2</x:v>
      </x:c>
      <x:c r="AL5" s="13" t="n">
        <x:v>910</x:v>
      </x:c>
      <x:c r="AM5" s="13" t="str">
        <x:v>Yes</x:v>
      </x:c>
      <x:c r="AN5" s="10" t="str">
        <x:v>历史加速 10.6ppt / 前瞻 -8.2ppt</x:v>
      </x:c>
      <x:c r="AO5" s="10" t="str">
        <x:v>https://nvidianews.nvidia.com/news/nvidia-announces-financial-results-for-first-quarter-fiscal-2027</x:v>
      </x:c>
      <x:c r="AP5" s="10" t="str">
        <x:v>FY2027 Q1 ended Apr 26 2026: revenue $81.615B, GAAP gross margin 74.9%, GAAP net income $58.321B</x:v>
      </x:c>
    </x:row>
    <x:row r="6">
      <x:c r="A6" s="13" t="n">
        <x:v>2</x:v>
      </x:c>
      <x:c r="B6" s="13" t="str">
        <x:v>PLTR</x:v>
      </x:c>
      <x:c r="C6" s="13" t="str">
        <x:v>Palantir</x:v>
      </x:c>
      <x:c r="D6" s="13" t="str">
        <x:v>AI 平台</x:v>
      </x:c>
      <x:c r="E6" s="13" t="str">
        <x:v>Core 80%</x:v>
      </x:c>
      <x:c r="F6" s="13" t="n">
        <x:v>16</x:v>
      </x:c>
      <x:c r="G6" s="14" t="n">
        <x:f>IFERROR((H6-MIN($H$5:$H$65)+0.5)/(SUM($H$5:$H$65)-COUNT($H$5:$H$65)*MIN($H$5:$H$65)+0.5*COUNT($H$5:$H$65))*100,"")</x:f>
        <x:v>2.4480404296801628</x:v>
      </x:c>
      <x:c r="H6" s="14" t="n">
        <x:f>$C$2*2*(N6/10)+$E$2*S6+$G$2*Y6+$I$2*AE6+$K$2*AJ6</x:f>
        <x:v>0.8693286537657838</x:v>
      </x:c>
      <x:c r="I6" s="14" t="n">
        <x:f>$C$2*2*(N6/10)</x:f>
        <x:v>0.35200000000000004</x:v>
      </x:c>
      <x:c r="J6" s="14" t="n">
        <x:f>$E$2*S6</x:f>
        <x:v>0.10845714258382813</x:v>
      </x:c>
      <x:c r="K6" s="14" t="n">
        <x:f>$G$2*Y6</x:f>
        <x:v>0.3118529406765245</x:v>
      </x:c>
      <x:c r="L6" s="14" t="n">
        <x:f>$I$2*AE6</x:f>
        <x:v>0.09701857050543113</x:v>
      </x:c>
      <x:c r="M6" s="14" t="n">
        <x:f>$K$2*AJ6</x:f>
        <x:v>0</x:v>
      </x:c>
      <x:c r="N6" s="15" t="n">
        <x:v>8</x:v>
      </x:c>
      <x:c r="O6" s="15" t="n">
        <x:v>85.22727272727273</x:v>
      </x:c>
      <x:c r="P6" s="15" t="n">
        <x:v>-0.9250204562667714</x:v>
      </x:c>
      <x:c r="Q6" s="14" t="n">
        <x:f>IFERROR((O6-AVERAGE($O$5:$O$65))/STDEV.P($O$5:$O$65),0)</x:f>
        <x:v>0.9077497078612738</x:v>
      </x:c>
      <x:c r="R6" s="14" t="n">
        <x:f>IFERROR((P6-AVERAGE($P$5:$P$65))/STDEV.P($P$5:$P$65),0)</x:f>
        <x:v>-0.1364331348305357</x:v>
      </x:c>
      <x:c r="S6" s="14" t="n">
        <x:f>0.65*Q6+0.35*R6</x:f>
        <x:v>0.5422857129191406</x:v>
      </x:c>
      <x:c r="T6" s="15" t="n">
        <x:v>86.78</x:v>
      </x:c>
      <x:c r="U6" s="15" t="n">
        <x:v>53.32</x:v>
      </x:c>
      <x:c r="V6" s="15" t="n">
        <x:v>53.32</x:v>
      </x:c>
      <x:c r="W6" s="14" t="n">
        <x:f>IFERROR((T6-AVERAGE($T$5:$T$65))/STDEV.P($T$5:$T$65),0)</x:f>
        <x:v>1.5944205257854014</x:v>
      </x:c>
      <x:c r="X6" s="14" t="n">
        <x:f>IFERROR((V6-AVERAGE($V$5:$V$65))/STDEV.P($V$5:$V$65),0)</x:f>
        <x:v>1.5065309697784546</x:v>
      </x:c>
      <x:c r="Y6" s="14" t="n">
        <x:f>0.6*W6+0.4*X6</x:f>
        <x:v>1.5592647033826226</x:v>
      </x:c>
      <x:c r="Z6" s="15" t="n">
        <x:v>4500</x:v>
      </x:c>
      <x:c r="AA6" s="15" t="n">
        <x:v>0.697</x:v>
      </x:c>
      <x:c r="AB6" s="15" t="n">
        <x:v>10.69</x:v>
      </x:c>
      <x:c r="AC6" s="15"/>
      <x:c r="AD6" s="14" t="n">
        <x:v>9.362227833283788</x:v>
      </x:c>
      <x:c r="AE6" s="14" t="n">
        <x:f>IFERROR((AD6-AVERAGE($AD$5:$AD$65))/STDEV.P($AD$5:$AD$65),0)</x:f>
        <x:v>0.5389920583635063</x:v>
      </x:c>
      <x:c r="AF6" s="14" t="n">
        <x:f>-AH6+0.2*AG6</x:f>
        <x:v>-0.3326435606060605</x:v>
      </x:c>
      <x:c r="AG6" s="14" t="n">
        <x:f>IFERROR((AI6-AVERAGE($AI$5:$AI$65))/STDEV.P($AI$5:$AI$65),0)</x:f>
        <x:v>0</x:v>
      </x:c>
      <x:c r="AH6" s="14" t="n">
        <x:v>0.3326435606060605</x:v>
      </x:c>
      <x:c r="AI6" s="14"/>
      <x:c r="AJ6" s="14"/>
      <x:c r="AK6" s="13" t="str">
        <x:v>2026Q1</x:v>
      </x:c>
      <x:c r="AL6" s="13" t="n">
        <x:v>18</x:v>
      </x:c>
      <x:c r="AM6" s="13" t="str">
        <x:v>Yes</x:v>
      </x:c>
      <x:c r="AN6" s="10" t="str">
        <x:v>历史加速 1.7ppt / 前瞻 -7.1ppt</x:v>
      </x:c>
      <x:c r="AO6" s="10" t="str">
        <x:v>https://www.sec.gov/Archives/edgar/data/1321655/000132165526000028/0001321655-26-000028-index.html</x:v>
      </x:c>
      <x:c r="AP6" s="10" t="str">
        <x:v>SEC Companyfacts CY2026Q1: revenue $1.633B, gross profit $1.417B, net income $0.871B</x:v>
      </x:c>
    </x:row>
    <x:row r="7">
      <x:c r="A7" s="13" t="n">
        <x:v>3</x:v>
      </x:c>
      <x:c r="B7" s="13" t="str">
        <x:v>META</x:v>
      </x:c>
      <x:c r="C7" s="13" t="str">
        <x:v>Meta Platforms</x:v>
      </x:c>
      <x:c r="D7" s="13" t="str">
        <x:v>社交/AI 训练</x:v>
      </x:c>
      <x:c r="E7" s="13" t="str">
        <x:v>Core 80%</x:v>
      </x:c>
      <x:c r="F7" s="13" t="n">
        <x:v>16</x:v>
      </x:c>
      <x:c r="G7" s="14" t="n">
        <x:f>IFERROR((H7-MIN($H$5:$H$65)+0.5)/(SUM($H$5:$H$65)-COUNT($H$5:$H$65)*MIN($H$5:$H$65)+0.5*COUNT($H$5:$H$65))*100,"")</x:f>
        <x:v>2.5233028640703243</x:v>
      </x:c>
      <x:c r="H7" s="14" t="n">
        <x:f>$C$2*2*(N7/10)+$E$2*S7+$G$2*Y7+$I$2*AE7+$K$2*AJ7</x:f>
        <x:v>0.9194884606573497</x:v>
      </x:c>
      <x:c r="I7" s="14" t="n">
        <x:f>$C$2*2*(N7/10)</x:f>
        <x:v>0.396</x:v>
      </x:c>
      <x:c r="J7" s="14" t="n">
        <x:f>$E$2*S7</x:f>
        <x:v>-0.0312379429083614</x:v>
      </x:c>
      <x:c r="K7" s="14" t="n">
        <x:f>$G$2*Y7</x:f>
        <x:v>0.262983659614987</x:v>
      </x:c>
      <x:c r="L7" s="14" t="n">
        <x:f>$I$2*AE7</x:f>
        <x:v>0.29174274395072414</x:v>
      </x:c>
      <x:c r="M7" s="14" t="n">
        <x:f>$K$2*AJ7</x:f>
        <x:v>0</x:v>
      </x:c>
      <x:c r="N7" s="15" t="n">
        <x:v>9</x:v>
      </x:c>
      <x:c r="O7" s="15" t="n">
        <x:v>33.08910423067832</x:v>
      </x:c>
      <x:c r="P7" s="15" t="n">
        <x:v>-3.169490893691337</x:v>
      </x:c>
      <x:c r="Q7" s="14" t="n">
        <x:f>IFERROR((O7-AVERAGE($O$5:$O$65))/STDEV.P($O$5:$O$65),0)</x:f>
        <x:v>-0.14051131372934486</x:v>
      </x:c>
      <x:c r="R7" s="14" t="n">
        <x:f>IFERROR((P7-AVERAGE($P$5:$P$65))/STDEV.P($P$5:$P$65),0)</x:f>
        <x:v>-0.1853067446220938</x:v>
      </x:c>
      <x:c r="S7" s="14" t="n">
        <x:f>0.65*Q7+0.35*R7</x:f>
        <x:v>-0.156189714541807</x:v>
      </x:c>
      <x:c r="T7" s="15" t="n">
        <x:v>81.85</x:v>
      </x:c>
      <x:c r="U7" s="15" t="n">
        <x:v>47.54</x:v>
      </x:c>
      <x:c r="V7" s="15" t="n">
        <x:v>47.54</x:v>
      </x:c>
      <x:c r="W7" s="14" t="n">
        <x:f>IFERROR((T7-AVERAGE($T$5:$T$65))/STDEV.P($T$5:$T$65),0)</x:f>
        <x:v>1.3676587300410235</x:v>
      </x:c>
      <x:c r="X7" s="14" t="n">
        <x:f>IFERROR((V7-AVERAGE($V$5:$V$65))/STDEV.P($V$5:$V$65),0)</x:f>
        <x:v>1.235807650125802</x:v>
      </x:c>
      <x:c r="Y7" s="14" t="n">
        <x:f>0.6*W7+0.4*X7</x:f>
        <x:v>1.314918298074935</x:v>
      </x:c>
      <x:c r="Z7" s="15" t="n">
        <x:v>15300</x:v>
      </x:c>
      <x:c r="AA7" s="15" t="n">
        <x:v>44.068</x:v>
      </x:c>
      <x:c r="AB7" s="15" t="n">
        <x:v>19.56</x:v>
      </x:c>
      <x:c r="AC7" s="15" t="n">
        <x:v>-0.076</x:v>
      </x:c>
      <x:c r="AD7" s="14" t="n">
        <x:v>11.885849346313304</x:v>
      </x:c>
      <x:c r="AE7" s="14" t="n">
        <x:f>IFERROR((AD7-AVERAGE($AD$5:$AD$65))/STDEV.P($AD$5:$AD$65),0)</x:f>
        <x:v>1.6207930219484674</x:v>
      </x:c>
      <x:c r="AF7" s="14" t="n">
        <x:f>-AH7+0.2*AG7</x:f>
        <x:v>-0.26834999999999976</x:v>
      </x:c>
      <x:c r="AG7" s="14" t="n">
        <x:f>IFERROR((AI7-AVERAGE($AI$5:$AI$65))/STDEV.P($AI$5:$AI$65),0)</x:f>
        <x:v>0</x:v>
      </x:c>
      <x:c r="AH7" s="14" t="n">
        <x:v>0.26834999999999976</x:v>
      </x:c>
      <x:c r="AI7" s="14"/>
      <x:c r="AJ7" s="14"/>
      <x:c r="AK7" s="13" t="str">
        <x:v>2026Q1</x:v>
      </x:c>
      <x:c r="AL7" s="13" t="n">
        <x:v>595</x:v>
      </x:c>
      <x:c r="AM7" s="13" t="str">
        <x:v>Yes</x:v>
      </x:c>
      <x:c r="AN7" s="10" t="str">
        <x:v>历史加速 -4.6ppt / 前瞻 0.2ppt</x:v>
      </x:c>
      <x:c r="AO7" s="10" t="str">
        <x:v>https://www.sec.gov/Archives/edgar/data/1326801/000162828026028364/meta-03312026xexhibit991.htm</x:v>
      </x:c>
      <x:c r="AP7" s="10" t="str">
        <x:v>Q1 2026 ended Mar 31 2026: revenue $56.311B, cost of revenue $10.218B, GAAP net income $26.773B; net income includes income tax benefit</x:v>
      </x:c>
    </x:row>
    <x:row r="8">
      <x:c r="A8" s="13" t="n">
        <x:v>4</x:v>
      </x:c>
      <x:c r="B8" s="13" t="str">
        <x:v>AVGO</x:v>
      </x:c>
      <x:c r="C8" s="13" t="str">
        <x:v>Broadcom</x:v>
      </x:c>
      <x:c r="D8" s="13" t="str">
        <x:v>AI 定制芯片</x:v>
      </x:c>
      <x:c r="E8" s="13" t="str">
        <x:v>Core 80%</x:v>
      </x:c>
      <x:c r="F8" s="13" t="n">
        <x:v>16</x:v>
      </x:c>
      <x:c r="G8" s="14" t="n">
        <x:f>IFERROR((H8-MIN($H$5:$H$65)+0.5)/(SUM($H$5:$H$65)-COUNT($H$5:$H$65)*MIN($H$5:$H$65)+0.5*COUNT($H$5:$H$65))*100,"")</x:f>
        <x:v>2.569338188744407</x:v>
      </x:c>
      <x:c r="H8" s="14" t="n">
        <x:f>$C$2*2*(N8/10)+$E$2*S8+$G$2*Y8+$I$2*AE8+$K$2*AJ8</x:f>
        <x:v>0.9501694107827736</x:v>
      </x:c>
      <x:c r="I8" s="14" t="n">
        <x:f>$C$2*2*(N8/10)</x:f>
        <x:v>0.396</x:v>
      </x:c>
      <x:c r="J8" s="14" t="n">
        <x:f>$E$2*S8</x:f>
        <x:v>0.017720083994594914</x:v>
      </x:c>
      <x:c r="K8" s="14" t="n">
        <x:f>$G$2*Y8</x:f>
        <x:v>0.21600718733030944</x:v>
      </x:c>
      <x:c r="L8" s="14" t="n">
        <x:f>$I$2*AE8</x:f>
        <x:v>0.3204421394578693</x:v>
      </x:c>
      <x:c r="M8" s="14" t="n">
        <x:f>$K$2*AJ8</x:f>
        <x:v>0</x:v>
      </x:c>
      <x:c r="N8" s="15" t="n">
        <x:v>9</x:v>
      </x:c>
      <x:c r="O8" s="15" t="n">
        <x:v>48.79356568364612</x:v>
      </x:c>
      <x:c r="P8" s="15" t="n">
        <x:v>2.020676018259576</x:v>
      </x:c>
      <x:c r="Q8" s="14" t="n">
        <x:f>IFERROR((O8-AVERAGE($O$5:$O$65))/STDEV.P($O$5:$O$65),0)</x:f>
        <x:v>0.17523385494288832</x:v>
      </x:c>
      <x:c r="R8" s="14" t="n">
        <x:f>IFERROR((P8-AVERAGE($P$5:$P$65))/STDEV.P($P$5:$P$65),0)</x:f>
        <x:v>-0.07229024497115095</x:v>
      </x:c>
      <x:c r="S8" s="14" t="n">
        <x:f>0.65*Q8+0.35*R8</x:f>
        <x:v>0.08860041997297458</x:v>
      </x:c>
      <x:c r="T8" s="15" t="n">
        <x:v>77.1</x:v>
      </x:c>
      <x:c r="U8" s="15" t="n">
        <x:v>42</x:v>
      </x:c>
      <x:c r="V8" s="15" t="n">
        <x:v>42</x:v>
      </x:c>
      <x:c r="W8" s="14" t="n">
        <x:f>IFERROR((T8-AVERAGE($T$5:$T$65))/STDEV.P($T$5:$T$65),0)</x:f>
        <x:v>1.1491762696382257</x:v>
      </x:c>
      <x:c r="X8" s="14" t="n">
        <x:f>IFERROR((V8-AVERAGE($V$5:$V$65))/STDEV.P($V$5:$V$65),0)</x:f>
        <x:v>0.9763254371715292</x:v>
      </x:c>
      <x:c r="Y8" s="14" t="n">
        <x:f>0.6*W8+0.4*X8</x:f>
        <x:v>1.080035936651547</x:v>
      </x:c>
      <x:c r="Z8" s="15" t="n">
        <x:v>20320</x:v>
      </x:c>
      <x:c r="AA8" s="15" t="n">
        <x:v>17.633</x:v>
      </x:c>
      <x:c r="AB8" s="15" t="n">
        <x:v>22.83</x:v>
      </x:c>
      <x:c r="AC8" s="15" t="n">
        <x:v>-48.958</x:v>
      </x:c>
      <x:c r="AD8" s="14" t="n">
        <x:v>12.257792955734361</x:v>
      </x:c>
      <x:c r="AE8" s="14" t="n">
        <x:f>IFERROR((AD8-AVERAGE($AD$5:$AD$65))/STDEV.P($AD$5:$AD$65),0)</x:f>
        <x:v>1.780234108099274</x:v>
      </x:c>
      <x:c r="AF8" s="14" t="n">
        <x:f>-AH8+0.2*AG8</x:f>
        <x:v>-0.5545</x:v>
      </x:c>
      <x:c r="AG8" s="14" t="n">
        <x:f>IFERROR((AI8-AVERAGE($AI$5:$AI$65))/STDEV.P($AI$5:$AI$65),0)</x:f>
        <x:v>0</x:v>
      </x:c>
      <x:c r="AH8" s="14" t="n">
        <x:v>0.5545</x:v>
      </x:c>
      <x:c r="AI8" s="14"/>
      <x:c r="AJ8" s="14"/>
      <x:c r="AK8" s="13" t="str">
        <x:v>2026Q2</x:v>
      </x:c>
      <x:c r="AL8" s="13" t="n">
        <x:v>222</x:v>
      </x:c>
      <x:c r="AM8" s="13" t="str">
        <x:v>Yes</x:v>
      </x:c>
      <x:c r="AN8" s="10" t="str">
        <x:v>历史加速 7.6ppt / 前瞻 -11.1ppt</x:v>
      </x:c>
      <x:c r="AO8" s="10" t="str">
        <x:v>https://investors.broadcom.com/news-releases/news-release-details/broadcom-inc-announces-second-quarter-fiscal-year-2026-financial</x:v>
      </x:c>
      <x:c r="AP8" s="10" t="str">
        <x:v>FY26 Q2 (Feb-May 2026, ending May 3): 营收$222亿同比+48%, AI半导体$108亿+143%; GAAP GM 77.1%, GAAP NM 42.0%; Non-GAAP EPS $2.44</x:v>
      </x:c>
    </x:row>
    <x:row r="9">
      <x:c r="A9" s="13" t="n">
        <x:v>5</x:v>
      </x:c>
      <x:c r="B9" s="13" t="str">
        <x:v>MSFT</x:v>
      </x:c>
      <x:c r="C9" s="13" t="str">
        <x:v>Microsoft</x:v>
      </x:c>
      <x:c r="D9" s="13" t="str">
        <x:v>云/AI 平台</x:v>
      </x:c>
      <x:c r="E9" s="13" t="str">
        <x:v>Core 80%</x:v>
      </x:c>
      <x:c r="F9" s="13" t="n">
        <x:v>16</x:v>
      </x:c>
      <x:c r="G9" s="14" t="n">
        <x:f>IFERROR((H9-MIN($H$5:$H$65)+0.5)/(SUM($H$5:$H$65)-COUNT($H$5:$H$65)*MIN($H$5:$H$65)+0.5*COUNT($H$5:$H$65))*100,"")</x:f>
        <x:v>2.37186202202617</x:v>
      </x:c>
      <x:c r="H9" s="14" t="n">
        <x:f>$C$2*2*(N9/10)+$E$2*S9+$G$2*Y9+$I$2*AE9+$K$2*AJ9</x:f>
        <x:v>0.8185583824054044</x:v>
      </x:c>
      <x:c r="I9" s="14" t="n">
        <x:f>$C$2*2*(N9/10)</x:f>
        <x:v>0.396</x:v>
      </x:c>
      <x:c r="J9" s="14" t="n">
        <x:f>$E$2*S9</x:f>
        <x:v>-0.06635411717183325</x:v>
      </x:c>
      <x:c r="K9" s="14" t="n">
        <x:f>$G$2*Y9</x:f>
        <x:v>0.15002283336844593</x:v>
      </x:c>
      <x:c r="L9" s="14" t="n">
        <x:f>$I$2*AE9</x:f>
        <x:v>0.33888966620879174</x:v>
      </x:c>
      <x:c r="M9" s="14" t="n">
        <x:f>$K$2*AJ9</x:f>
        <x:v>0</x:v>
      </x:c>
      <x:c r="N9" s="15" t="n">
        <x:v>9</x:v>
      </x:c>
      <x:c r="O9" s="15" t="n">
        <x:v>18.295989724561146</x:v>
      </x:c>
      <x:c r="P9" s="15" t="n">
        <x:v>-0.8413401243642449</x:v>
      </x:c>
      <x:c r="Q9" s="14" t="n">
        <x:f>IFERROR((O9-AVERAGE($O$5:$O$65))/STDEV.P($O$5:$O$65),0)</x:f>
        <x:v>-0.4379334474911453</x:v>
      </x:c>
      <x:c r="R9" s="14" t="n">
        <x:f>IFERROR((P9-AVERAGE($P$5:$P$65))/STDEV.P($P$5:$P$65),0)</x:f>
        <x:v>-0.13461098568549063</x:v>
      </x:c>
      <x:c r="S9" s="14" t="n">
        <x:f>0.65*Q9+0.35*R9</x:f>
        <x:v>-0.3317705858591662</x:v>
      </x:c>
      <x:c r="T9" s="15" t="n">
        <x:v>67.63</x:v>
      </x:c>
      <x:c r="U9" s="15" t="n">
        <x:v>38.34</x:v>
      </x:c>
      <x:c r="V9" s="15" t="n">
        <x:v>38.34</x:v>
      </x:c>
      <x:c r="W9" s="14" t="n">
        <x:f>IFERROR((T9-AVERAGE($T$5:$T$65))/STDEV.P($T$5:$T$65),0)</x:f>
        <x:v>0.7135912380562269</x:v>
      </x:c>
      <x:c r="X9" s="14" t="n">
        <x:f>IFERROR((V9-AVERAGE($V$5:$V$65))/STDEV.P($V$5:$V$65),0)</x:f>
        <x:v>0.8048985600212336</x:v>
      </x:c>
      <x:c r="Y9" s="14" t="n">
        <x:f>0.6*W9+0.4*X9</x:f>
        <x:v>0.7501141668422296</x:v>
      </x:c>
      <x:c r="Z9" s="15" t="n">
        <x:v>30510</x:v>
      </x:c>
      <x:c r="AA9" s="15" t="n">
        <x:v>59.475</x:v>
      </x:c>
      <x:c r="AB9" s="15" t="n">
        <x:v>17.94</x:v>
      </x:c>
      <x:c r="AC9" s="15" t="n">
        <x:v>-12.909</x:v>
      </x:c>
      <x:c r="AD9" s="14" t="n">
        <x:v>12.496872544812163</x:v>
      </x:c>
      <x:c r="AE9" s="14" t="n">
        <x:f>IFERROR((AD9-AVERAGE($AD$5:$AD$65))/STDEV.P($AD$5:$AD$65),0)</x:f>
        <x:v>1.8827203678266209</x:v>
      </x:c>
      <x:c r="AF9" s="14" t="n">
        <x:f>-AH9+0.2*AG9</x:f>
        <x:v>-0.1</x:v>
      </x:c>
      <x:c r="AG9" s="14" t="n">
        <x:f>IFERROR((AI9-AVERAGE($AI$5:$AI$65))/STDEV.P($AI$5:$AI$65),0)</x:f>
        <x:v>0</x:v>
      </x:c>
      <x:c r="AH9" s="14" t="n">
        <x:v>0.1</x:v>
      </x:c>
      <x:c r="AI9" s="14"/>
      <x:c r="AJ9" s="14"/>
      <x:c r="AK9" s="13" t="str">
        <x:v>2026Q1</x:v>
      </x:c>
      <x:c r="AL9" s="13" t="n">
        <x:v>872.5</x:v>
      </x:c>
      <x:c r="AM9" s="13" t="str">
        <x:v>Yes</x:v>
      </x:c>
      <x:c r="AN9" s="10" t="str">
        <x:v>历史加速 -2.0ppt / 前瞻 1.9ppt</x:v>
      </x:c>
      <x:c r="AO9" s="10" t="str">
        <x:v>https://www.microsoft.com/en-us/investor/earnings/fy-2026-q3/press-release-webcast</x:v>
      </x:c>
      <x:c r="AP9" s="10" t="str">
        <x:v>FY2026 Q3 ended Mar 31 2026: revenue $82.886B, gross margin $56.058B, GAAP net income $31.778B</x:v>
      </x:c>
    </x:row>
    <x:row r="10">
      <x:c r="A10" s="13" t="n">
        <x:v>6</x:v>
      </x:c>
      <x:c r="B10" s="13" t="str">
        <x:v>APP</x:v>
      </x:c>
      <x:c r="C10" s="13" t="str">
        <x:v>AppLovin</x:v>
      </x:c>
      <x:c r="D10" s="13" t="str">
        <x:v>AI 软件应用</x:v>
      </x:c>
      <x:c r="E10" s="13" t="str">
        <x:v>Satellite 20%</x:v>
      </x:c>
      <x:c r="F10" s="13" t="n">
        <x:v>4</x:v>
      </x:c>
      <x:c r="G10" s="14" t="n">
        <x:f>IFERROR((H10-MIN($H$5:$H$65)+0.5)/(SUM($H$5:$H$65)-COUNT($H$5:$H$65)*MIN($H$5:$H$65)+0.5*COUNT($H$5:$H$65))*100,"")</x:f>
        <x:v>2.1824366553926335</x:v>
      </x:c>
      <x:c r="H10" s="14" t="n">
        <x:f>$C$2*2*(N10/10)+$E$2*S10+$G$2*Y10+$I$2*AE10+$K$2*AJ10</x:f>
        <x:v>0.6923129335610831</x:v>
      </x:c>
      <x:c r="I10" s="14" t="n">
        <x:f>$C$2*2*(N10/10)</x:f>
        <x:v>0.264</x:v>
      </x:c>
      <x:c r="J10" s="14" t="n">
        <x:f>$E$2*S10</x:f>
        <x:v>0.04032262506296855</x:v>
      </x:c>
      <x:c r="K10" s="14" t="n">
        <x:f>$G$2*Y10</x:f>
        <x:v>0.34886057671906945</x:v>
      </x:c>
      <x:c r="L10" s="14" t="n">
        <x:f>$I$2*AE10</x:f>
        <x:v>0.03912973177904513</x:v>
      </x:c>
      <x:c r="M10" s="14" t="n">
        <x:f>$K$2*AJ10</x:f>
        <x:v>0</x:v>
      </x:c>
      <x:c r="N10" s="15" t="n">
        <x:v>6</x:v>
      </x:c>
      <x:c r="O10" s="15" t="n">
        <x:v>58.6206896551724</x:v>
      </x:c>
      <x:c r="P10" s="15" t="n">
        <x:v>-0.0017427520538628727</x:v>
      </x:c>
      <x:c r="Q10" s="14" t="n">
        <x:f>IFERROR((O10-AVERAGE($O$5:$O$65))/STDEV.P($O$5:$O$65),0)</x:f>
        <x:v>0.37281254461939023</x:v>
      </x:c>
      <x:c r="R10" s="14" t="n">
        <x:f>IFERROR((P10-AVERAGE($P$5:$P$65))/STDEV.P($P$5:$P$65),0)</x:f>
        <x:v>-0.11632865339360261</x:v>
      </x:c>
      <x:c r="S10" s="14" t="n">
        <x:f>0.65*Q10+0.35*R10</x:f>
        <x:v>0.20161312531484274</x:v>
      </x:c>
      <x:c r="T10" s="15" t="n">
        <x:v>88.95</x:v>
      </x:c>
      <x:c r="U10" s="15" t="n">
        <x:v>65.44</x:v>
      </x:c>
      <x:c r="V10" s="15" t="n">
        <x:v>60</x:v>
      </x:c>
      <x:c r="W10" s="14" t="n">
        <x:f>IFERROR((T10-AVERAGE($T$5:$T$65))/STDEV.P($T$5:$T$65),0)</x:f>
        <x:v>1.69423251295889</x:v>
      </x:c>
      <x:c r="X10" s="14" t="n">
        <x:f>IFERROR((V10-AVERAGE($V$5:$V$65))/STDEV.P($V$5:$V$65),0)</x:f>
        <x:v>1.819408439550033</x:v>
      </x:c>
      <x:c r="Y10" s="14" t="n">
        <x:f>0.6*W10+0.4*X10</x:f>
        <x:v>1.7443028835953471</x:v>
      </x:c>
      <x:c r="Z10" s="15" t="n">
        <x:v>1530</x:v>
      </x:c>
      <x:c r="AA10" s="15" t="n">
        <x:v>1.061</x:v>
      </x:c>
      <x:c r="AB10" s="15" t="n">
        <x:v>14.41</x:v>
      </x:c>
      <x:c r="AC10" s="15" t="n">
        <x:v>-1.022</x:v>
      </x:c>
      <x:c r="AD10" s="14" t="n">
        <x:v>8.611989605592724</x:v>
      </x:c>
      <x:c r="AE10" s="14" t="n">
        <x:f>IFERROR((AD10-AVERAGE($AD$5:$AD$65))/STDEV.P($AD$5:$AD$65),0)</x:f>
        <x:v>0.21738739877247293</x:v>
      </x:c>
      <x:c r="AF10" s="14" t="n">
        <x:f>-AH10+0.2*AG10</x:f>
        <x:v>-0.2</x:v>
      </x:c>
      <x:c r="AG10" s="14" t="n">
        <x:f>IFERROR((AI10-AVERAGE($AI$5:$AI$65))/STDEV.P($AI$5:$AI$65),0)</x:f>
        <x:v>0</x:v>
      </x:c>
      <x:c r="AH10" s="14" t="n">
        <x:v>0.2</x:v>
      </x:c>
      <x:c r="AI10" s="14"/>
      <x:c r="AJ10" s="14"/>
      <x:c r="AK10" s="13" t="str">
        <x:v>2026Q1</x:v>
      </x:c>
      <x:c r="AL10" s="13" t="n">
        <x:v>19.3</x:v>
      </x:c>
      <x:c r="AM10" s="13" t="str">
        <x:v>Yes</x:v>
      </x:c>
      <x:c r="AN10" s="10" t="str">
        <x:v>历史加速 4.0ppt / 前瞻 -9.4ppt</x:v>
      </x:c>
      <x:c r="AO10" s="10" t="str">
        <x:v>https://www.sec.gov/Archives/edgar/data/1751008/000175100826000044/0001751008-26-000044-index.html</x:v>
      </x:c>
      <x:c r="AP10" s="10" t="str">
        <x:v>SEC Companyfacts CY2026Q1: revenue $1.842B, gross profit $1.639B (revenue minus CostOfRevenue $0.204B), net income $1.206B</x:v>
      </x:c>
    </x:row>
    <x:row r="11">
      <x:c r="A11" s="13" t="n">
        <x:v>7</x:v>
      </x:c>
      <x:c r="B11" s="13" t="str">
        <x:v>TSM</x:v>
      </x:c>
      <x:c r="C11" s="13" t="str">
        <x:v>TSMC</x:v>
      </x:c>
      <x:c r="D11" s="13" t="str">
        <x:v>晶圆代工</x:v>
      </x:c>
      <x:c r="E11" s="13" t="str">
        <x:v>Satellite 20%</x:v>
      </x:c>
      <x:c r="F11" s="13" t="n">
        <x:v>4</x:v>
      </x:c>
      <x:c r="G11" s="14" t="n">
        <x:f>IFERROR((H11-MIN($H$5:$H$65)+0.5)/(SUM($H$5:$H$65)-COUNT($H$5:$H$65)*MIN($H$5:$H$65)+0.5*COUNT($H$5:$H$65))*100,"")</x:f>
        <x:v>2.4456756038626666</x:v>
      </x:c>
      <x:c r="H11" s="14" t="n">
        <x:f>$C$2*2*(N11/10)+$E$2*S11+$G$2*Y11+$I$2*AE11+$K$2*AJ11</x:f>
        <x:v>0.8677525792300749</x:v>
      </x:c>
      <x:c r="I11" s="14" t="n">
        <x:f>$C$2*2*(N11/10)</x:f>
        <x:v>0.44</x:v>
      </x:c>
      <x:c r="J11" s="14" t="n">
        <x:f>$E$2*S11</x:f>
        <x:v>-0.014334593125844642</x:v>
      </x:c>
      <x:c r="K11" s="14" t="n">
        <x:f>$G$2*Y11</x:f>
        <x:v>0.18769381949357378</x:v>
      </x:c>
      <x:c r="L11" s="14" t="n">
        <x:f>$I$2*AE11</x:f>
        <x:v>0.2543933528623456</x:v>
      </x:c>
      <x:c r="M11" s="14" t="n">
        <x:f>$K$2*AJ11</x:f>
        <x:v>0</x:v>
      </x:c>
      <x:c r="N11" s="15" t="n">
        <x:v>10</x:v>
      </x:c>
      <x:c r="O11" s="15" t="n">
        <x:v>40.61887974931453</x:v>
      </x:c>
      <x:c r="P11" s="15" t="n">
        <x:v>-4.991545938983876</x:v>
      </x:c>
      <x:c r="Q11" s="14" t="n">
        <x:f>IFERROR((O11-AVERAGE($O$5:$O$65))/STDEV.P($O$5:$O$65),0)</x:f>
        <x:v>0.010878165516156274</x:v>
      </x:c>
      <x:c r="R11" s="14" t="n">
        <x:f>IFERROR((P11-AVERAGE($P$5:$P$65))/STDEV.P($P$5:$P$65),0)</x:f>
        <x:v>-0.22498220918492798</x:v>
      </x:c>
      <x:c r="S11" s="14" t="n">
        <x:f>0.65*Q11+0.35*R11</x:f>
        <x:v>-0.0716729656292232</x:v>
      </x:c>
      <x:c r="T11" s="15" t="n">
        <x:v>66.2</x:v>
      </x:c>
      <x:c r="U11" s="15" t="n">
        <x:v>50.5</x:v>
      </x:c>
      <x:c r="V11" s="15" t="n">
        <x:v>50.5</x:v>
      </x:c>
      <x:c r="W11" s="14" t="n">
        <x:f>IFERROR((T11-AVERAGE($T$5:$T$65))/STDEV.P($T$5:$T$65),0)</x:f>
        <x:v>0.6478165183981219</x:v>
      </x:c>
      <x:c r="X11" s="14" t="n">
        <x:f>IFERROR((V11-AVERAGE($V$5:$V$65))/STDEV.P($V$5:$V$65),0)</x:f>
        <x:v>1.3744479660724893</x:v>
      </x:c>
      <x:c r="Y11" s="14" t="n">
        <x:f>0.6*W11+0.4*X11</x:f>
        <x:v>0.9384690974678689</x:v>
      </x:c>
      <x:c r="Z11" s="15" t="n">
        <x:v>21040</x:v>
      </x:c>
      <x:c r="AA11" s="15" t="n">
        <x:v>16.698</x:v>
      </x:c>
      <x:c r="AB11" s="15" t="n">
        <x:v>11.63</x:v>
      </x:c>
      <x:c r="AC11" s="15"/>
      <x:c r="AD11" s="14" t="n">
        <x:v>11.401801961843775</x:v>
      </x:c>
      <x:c r="AE11" s="14" t="n">
        <x:f>IFERROR((AD11-AVERAGE($AD$5:$AD$65))/STDEV.P($AD$5:$AD$65),0)</x:f>
        <x:v>1.413296404790809</x:v>
      </x:c>
      <x:c r="AF11" s="14" t="n">
        <x:f>-AH11+0.2*AG11</x:f>
        <x:v>-0.5908750000000003</x:v>
      </x:c>
      <x:c r="AG11" s="14" t="n">
        <x:f>IFERROR((AI11-AVERAGE($AI$5:$AI$65))/STDEV.P($AI$5:$AI$65),0)</x:f>
        <x:v>0</x:v>
      </x:c>
      <x:c r="AH11" s="14" t="n">
        <x:v>0.5908750000000003</x:v>
      </x:c>
      <x:c r="AI11" s="14"/>
      <x:c r="AJ11" s="14"/>
      <x:c r="AK11" s="13" t="str">
        <x:v>2026Q1</x:v>
      </x:c>
      <x:c r="AL11" s="13" t="n">
        <x:v>396</x:v>
      </x:c>
      <x:c r="AM11" s="13" t="str">
        <x:v>Yes</x:v>
      </x:c>
      <x:c r="AN11" s="10" t="str">
        <x:v>历史加速 -9.8ppt / 前瞻 6.1ppt</x:v>
      </x:c>
      <x:c r="AO11" s="10" t="str">
        <x:v>https://investor.tsmc.com/english/quarterly-results/2026/q1</x:v>
      </x:c>
      <x:c r="AP11" s="10" t="str">
        <x:v>Q1 2026 actual: revenue NT$1,134.10B / avg USD/TWD 31.59 = about US$35.90B, gross margin 66.2%, net profit margin 50.5%; TSMC official quarterly results</x:v>
      </x:c>
    </x:row>
    <x:row r="12">
      <x:c r="A12" s="13" t="n">
        <x:v>8</x:v>
      </x:c>
      <x:c r="B12" s="13" t="str">
        <x:v>MRVL</x:v>
      </x:c>
      <x:c r="C12" s="13" t="str">
        <x:v>Marvell</x:v>
      </x:c>
      <x:c r="D12" s="13" t="str">
        <x:v>数据中心芯片</x:v>
      </x:c>
      <x:c r="E12" s="13" t="str">
        <x:v>Satellite 20%</x:v>
      </x:c>
      <x:c r="F12" s="13" t="n">
        <x:v>4</x:v>
      </x:c>
      <x:c r="G12" s="14" t="n">
        <x:f>IFERROR((H12-MIN($H$5:$H$65)+0.5)/(SUM($H$5:$H$65)-COUNT($H$5:$H$65)*MIN($H$5:$H$65)+0.5*COUNT($H$5:$H$65))*100,"")</x:f>
        <x:v>2.1497407127886166</x:v>
      </x:c>
      <x:c r="H12" s="14" t="n">
        <x:f>$C$2*2*(N12/10)+$E$2*S12+$G$2*Y12+$I$2*AE12+$K$2*AJ12</x:f>
        <x:v>0.670522219768153</x:v>
      </x:c>
      <x:c r="I12" s="14" t="n">
        <x:f>$C$2*2*(N12/10)</x:f>
        <x:v>0.308</x:v>
      </x:c>
      <x:c r="J12" s="14" t="n">
        <x:f>$E$2*S12</x:f>
        <x:v>0.4235722247668264</x:v>
      </x:c>
      <x:c r="K12" s="14" t="n">
        <x:f>$G$2*Y12</x:f>
        <x:v>-0.07372299010239247</x:v>
      </x:c>
      <x:c r="L12" s="14" t="n">
        <x:f>$I$2*AE12</x:f>
        <x:v>0.012672985103719028</x:v>
      </x:c>
      <x:c r="M12" s="14" t="n">
        <x:f>$K$2*AJ12</x:f>
        <x:v>0</x:v>
      </x:c>
      <x:c r="N12" s="15" t="n">
        <x:v>7</x:v>
      </x:c>
      <x:c r="O12" s="15" t="n">
        <x:v>27.368421052631575</x:v>
      </x:c>
      <x:c r="P12" s="15" t="n">
        <x:v>305.0212944048535</x:v>
      </x:c>
      <x:c r="Q12" s="14" t="n">
        <x:f>IFERROR((O12-AVERAGE($O$5:$O$65))/STDEV.P($O$5:$O$65),0)</x:f>
        <x:v>-0.255528188416979</x:v>
      </x:c>
      <x:c r="R12" s="14" t="n">
        <x:f>IFERROR((P12-AVERAGE($P$5:$P$65))/STDEV.P($P$5:$P$65),0)</x:f>
        <x:v>6.525584132300481</x:v>
      </x:c>
      <x:c r="S12" s="14" t="n">
        <x:f>0.65*Q12+0.35*R12</x:f>
        <x:v>2.117861123834132</x:v>
      </x:c>
      <x:c r="T12" s="15" t="n">
        <x:v>52.15</x:v>
      </x:c>
      <x:c r="U12" s="15" t="n">
        <x:v>1.43</x:v>
      </x:c>
      <x:c r="V12" s="15" t="n">
        <x:v>1.43</x:v>
      </x:c>
      <x:c r="W12" s="14" t="n">
        <x:f>IFERROR((T12-AVERAGE($T$5:$T$65))/STDEV.P($T$5:$T$65),0)</x:f>
        <x:v>0.0015683986803725497</x:v>
      </x:c>
      <x:c r="X12" s="14" t="n">
        <x:f>IFERROR((V12-AVERAGE($V$5:$V$65))/STDEV.P($V$5:$V$65),0)</x:f>
        <x:v>-0.9238899743004647</x:v>
      </x:c>
      <x:c r="Y12" s="14" t="n">
        <x:f>0.6*W12+0.4*X12</x:f>
        <x:v>-0.36861495051196236</x:v>
      </x:c>
      <x:c r="Z12" s="15" t="n">
        <x:v>1472</x:v>
      </x:c>
      <x:c r="AA12" s="15" t="n">
        <x:v>1.034</x:v>
      </x:c>
      <x:c r="AB12" s="15" t="n">
        <x:v>10.68</x:v>
      </x:c>
      <x:c r="AC12" s="15" t="n">
        <x:v>-1.832</x:v>
      </x:c>
      <x:c r="AD12" s="14" t="n">
        <x:v>8.269110681557219</x:v>
      </x:c>
      <x:c r="AE12" s="14" t="n">
        <x:f>IFERROR((AD12-AVERAGE($AD$5:$AD$65))/STDEV.P($AD$5:$AD$65),0)</x:f>
        <x:v>0.07040547279843905</x:v>
      </x:c>
      <x:c r="AF12" s="14" t="n">
        <x:f>-AH12+0.2*AG12</x:f>
        <x:v>-0.35</x:v>
      </x:c>
      <x:c r="AG12" s="14" t="n">
        <x:f>IFERROR((AI12-AVERAGE($AI$5:$AI$65))/STDEV.P($AI$5:$AI$65),0)</x:f>
        <x:v>0</x:v>
      </x:c>
      <x:c r="AH12" s="14" t="n">
        <x:v>0.35</x:v>
      </x:c>
      <x:c r="AI12" s="14"/>
      <x:c r="AJ12" s="14"/>
      <x:c r="AK12" s="13" t="str">
        <x:v>2026Q1</x:v>
      </x:c>
      <x:c r="AL12" s="13" t="n">
        <x:v>270</x:v>
      </x:c>
      <x:c r="AM12" s="13" t="str">
        <x:v>Yes</x:v>
      </x:c>
      <x:c r="AN12" s="10" t="str">
        <x:v>历史加速 4.1ppt / 前瞻 1007.2ppt</x:v>
      </x:c>
      <x:c r="AO12" s="10" t="str">
        <x:v>https://www.sec.gov/Archives/edgar/data/1835632/000183563226000019/0001835632-26-000019-index.html</x:v>
      </x:c>
      <x:c r="AP12" s="10" t="str">
        <x:v>SEC Companyfacts CY2026Q1: revenue $2.418B, gross profit $1.261B, net income $0.035B</x:v>
      </x:c>
    </x:row>
    <x:row r="13">
      <x:c r="A13" s="13" t="n">
        <x:v>9</x:v>
      </x:c>
      <x:c r="B13" s="13" t="str">
        <x:v>GOOGL</x:v>
      </x:c>
      <x:c r="C13" s="13" t="str">
        <x:v>Alphabet</x:v>
      </x:c>
      <x:c r="D13" s="13" t="str">
        <x:v>搜索/云/AI</x:v>
      </x:c>
      <x:c r="E13" s="13" t="str">
        <x:v>Satellite 20%</x:v>
      </x:c>
      <x:c r="F13" s="13" t="n">
        <x:v>4</x:v>
      </x:c>
      <x:c r="G13" s="14" t="n">
        <x:f>IFERROR((H13-MIN($H$5:$H$65)+0.5)/(SUM($H$5:$H$65)-COUNT($H$5:$H$65)*MIN($H$5:$H$65)+0.5*COUNT($H$5:$H$65))*100,"")</x:f>
        <x:v>2.477528687748054</x:v>
      </x:c>
      <x:c r="H13" s="14" t="n">
        <x:f>$C$2*2*(N13/10)+$E$2*S13+$G$2*Y13+$I$2*AE13+$K$2*AJ13</x:f>
        <x:v>0.8889815568673003</x:v>
      </x:c>
      <x:c r="I13" s="14" t="n">
        <x:f>$C$2*2*(N13/10)</x:f>
        <x:v>0.396</x:v>
      </x:c>
      <x:c r="J13" s="14" t="n">
        <x:f>$E$2*S13</x:f>
        <x:v>-0.05991223100910471</x:v>
      </x:c>
      <x:c r="K13" s="14" t="n">
        <x:f>$G$2*Y13</x:f>
        <x:v>0.19112639018548036</x:v>
      </x:c>
      <x:c r="L13" s="14" t="n">
        <x:f>$I$2*AE13</x:f>
        <x:v>0.3617673976909246</x:v>
      </x:c>
      <x:c r="M13" s="14" t="n">
        <x:f>$K$2*AJ13</x:f>
        <x:v>0</x:v>
      </x:c>
      <x:c r="N13" s="15" t="n">
        <x:v>9</x:v>
      </x:c>
      <x:c r="O13" s="15" t="n">
        <x:v>21.799844840962002</x:v>
      </x:c>
      <x:c r="P13" s="15" t="n">
        <x:v>-2.623299890677977</x:v>
      </x:c>
      <x:c r="Q13" s="14" t="n">
        <x:f>IFERROR((O13-AVERAGE($O$5:$O$65))/STDEV.P($O$5:$O$65),0)</x:f>
        <x:v>-0.36748688502580307</x:v>
      </x:c>
      <x:c r="R13" s="14" t="n">
        <x:f>IFERROR((P13-AVERAGE($P$5:$P$65))/STDEV.P($P$5:$P$65),0)</x:f>
        <x:v>-0.17341337079643304</x:v>
      </x:c>
      <x:c r="S13" s="14" t="n">
        <x:f>0.65*Q13+0.35*R13</x:f>
        <x:v>-0.29956115504552355</x:v>
      </x:c>
      <x:c r="T13" s="15" t="n">
        <x:v>62.45</x:v>
      </x:c>
      <x:c r="U13" s="15" t="n">
        <x:v>56.94</x:v>
      </x:c>
      <x:c r="V13" s="15" t="n">
        <x:v>56.94</x:v>
      </x:c>
      <x:c r="W13" s="14" t="n">
        <x:f>IFERROR((T13-AVERAGE($T$5:$T$65))/STDEV.P($T$5:$T$65),0)</x:f>
        <x:v>0.47533036544854473</x:v>
      </x:c>
      <x:c r="X13" s="14" t="n">
        <x:f>IFERROR((V13-AVERAGE($V$5:$V$65))/STDEV.P($V$5:$V$65),0)</x:f>
        <x:v>1.6760843291456873</x:v>
      </x:c>
      <x:c r="Y13" s="14" t="n">
        <x:f>0.6*W13+0.4*X13</x:f>
        <x:v>0.9556319509274017</x:v>
      </x:c>
      <x:c r="Z13" s="15" t="n">
        <x:v>47330</x:v>
      </x:c>
      <x:c r="AA13" s="15" t="n">
        <x:v>69.495</x:v>
      </x:c>
      <x:c r="AB13" s="15" t="n">
        <x:v>15.81</x:v>
      </x:c>
      <x:c r="AC13" s="15" t="n">
        <x:v>-18.377</x:v>
      </x:c>
      <x:c r="AD13" s="14" t="n">
        <x:v>12.79336750132481</x:v>
      </x:c>
      <x:c r="AE13" s="14" t="n">
        <x:f>IFERROR((AD13-AVERAGE($AD$5:$AD$65))/STDEV.P($AD$5:$AD$65),0)</x:f>
        <x:v>2.009818876060692</x:v>
      </x:c>
      <x:c r="AF13" s="14" t="n">
        <x:f>-AH13+0.2*AG13</x:f>
        <x:v>-0.63655</x:v>
      </x:c>
      <x:c r="AG13" s="14" t="n">
        <x:f>IFERROR((AI13-AVERAGE($AI$5:$AI$65))/STDEV.P($AI$5:$AI$65),0)</x:f>
        <x:v>0</x:v>
      </x:c>
      <x:c r="AH13" s="14" t="n">
        <x:v>0.63655</x:v>
      </x:c>
      <x:c r="AI13" s="14"/>
      <x:c r="AJ13" s="14"/>
      <x:c r="AK13" s="13" t="str">
        <x:v>2026Q1</x:v>
      </x:c>
      <x:c r="AL13" s="13"/>
      <x:c r="AM13" s="13" t="str">
        <x:v>No</x:v>
      </x:c>
      <x:c r="AN13" s="10" t="str">
        <x:v>历史加速 -2.6ppt / 无forecast不扣分</x:v>
      </x:c>
      <x:c r="AO13" s="10" t="str">
        <x:v>https://s206.q4cdn.com/479360582/files/doc_financials/2026/q1/2026q1-alphabet-earnings-release.pdf</x:v>
      </x:c>
      <x:c r="AP13" s="10" t="str">
        <x:v>Q1 2026 ended Mar 31 2026: revenue $109.896B, cost of revenues $41.271B, GAAP net income $62.578B; net income includes large equity securities gains</x:v>
      </x:c>
    </x:row>
    <x:row r="14">
      <x:c r="A14" s="13" t="n">
        <x:v>10</x:v>
      </x:c>
      <x:c r="B14" s="13" t="str">
        <x:v>AAPL</x:v>
      </x:c>
      <x:c r="C14" s="13" t="str">
        <x:v>Apple</x:v>
      </x:c>
      <x:c r="D14" s="13" t="str">
        <x:v>硬件/Apple Intelligence</x:v>
      </x:c>
      <x:c r="E14" s="13" t="str">
        <x:v>Satellite 20%</x:v>
      </x:c>
      <x:c r="F14" s="13" t="n">
        <x:v>4</x:v>
      </x:c>
      <x:c r="G14" s="14" t="n">
        <x:f>IFERROR((H14-MIN($H$5:$H$65)+0.5)/(SUM($H$5:$H$65)-COUNT($H$5:$H$65)*MIN($H$5:$H$65)+0.5*COUNT($H$5:$H$65))*100,"")</x:f>
        <x:v>2.1144552011680853</x:v>
      </x:c>
      <x:c r="H14" s="14" t="n">
        <x:f>$C$2*2*(N14/10)+$E$2*S14+$G$2*Y14+$I$2*AE14+$K$2*AJ14</x:f>
        <x:v>0.6470056478781087</x:v>
      </x:c>
      <x:c r="I14" s="14" t="n">
        <x:f>$C$2*2*(N14/10)</x:f>
        <x:v>0.264</x:v>
      </x:c>
      <x:c r="J14" s="14" t="n">
        <x:f>$E$2*S14</x:f>
        <x:v>-0.021033591549386655</x:v>
      </x:c>
      <x:c r="K14" s="14" t="n">
        <x:f>$G$2*Y14</x:f>
        <x:v>0.004693571241183129</x:v>
      </x:c>
      <x:c r="L14" s="14" t="n">
        <x:f>$I$2*AE14</x:f>
        <x:v>0.3993456681863122</x:v>
      </x:c>
      <x:c r="M14" s="14" t="n">
        <x:f>$K$2*AJ14</x:f>
        <x:v>0</x:v>
      </x:c>
      <x:c r="N14" s="15" t="n">
        <x:v>6</x:v>
      </x:c>
      <x:c r="O14" s="15" t="n">
        <x:v>16.589765100671137</x:v>
      </x:c>
      <x:c r="P14" s="15" t="n">
        <x:v>31.817231055208758</x:v>
      </x:c>
      <x:c r="Q14" s="14" t="n">
        <x:f>IFERROR((O14-AVERAGE($O$5:$O$65))/STDEV.P($O$5:$O$65),0)</x:f>
        <x:v>-0.47223785094211884</x:v>
      </x:c>
      <x:c r="R14" s="14" t="n">
        <x:f>IFERROR((P14-AVERAGE($P$5:$P$65))/STDEV.P($P$5:$P$65),0)</x:f>
        <x:v>0.5765332724726971</x:v>
      </x:c>
      <x:c r="S14" s="14" t="n">
        <x:f>0.65*Q14+0.35*R14</x:f>
        <x:v>-0.10516795774693327</x:v>
      </x:c>
      <x:c r="T14" s="15" t="n">
        <x:v>49.27</x:v>
      </x:c>
      <x:c r="U14" s="15" t="n">
        <x:v>26.6</x:v>
      </x:c>
      <x:c r="V14" s="15" t="n">
        <x:v>26.6</x:v>
      </x:c>
      <x:c r="W14" s="14" t="n">
        <x:f>IFERROR((T14-AVERAGE($T$5:$T$65))/STDEV.P($T$5:$T$65),0)</x:f>
        <x:v>-0.1309009667849025</x:v>
      </x:c>
      <x:c r="X14" s="14" t="n">
        <x:f>IFERROR((V14-AVERAGE($V$5:$V$65))/STDEV.P($V$5:$V$65),0)</x:f>
        <x:v>0.25502109069214285</x:v>
      </x:c>
      <x:c r="Y14" s="14" t="n">
        <x:f>0.6*W14+0.4*X14</x:f>
        <x:v>0.02346785620591564</x:v>
      </x:c>
      <x:c r="Z14" s="15" t="n">
        <x:v>42910</x:v>
      </x:c>
      <x:c r="AA14" s="15" t="n">
        <x:v>99.584</x:v>
      </x:c>
      <x:c r="AB14" s="15" t="n">
        <x:v>22.39</x:v>
      </x:c>
      <x:c r="AC14" s="15" t="n">
        <x:v>-54.766</x:v>
      </x:c>
      <x:c r="AD14" s="14" t="n">
        <x:v>13.280381158472238</x:v>
      </x:c>
      <x:c r="AE14" s="14" t="n">
        <x:f>IFERROR((AD14-AVERAGE($AD$5:$AD$65))/STDEV.P($AD$5:$AD$65),0)</x:f>
        <x:v>2.218587045479512</x:v>
      </x:c>
      <x:c r="AF14" s="14" t="n">
        <x:f>-AH14+0.2*AG14</x:f>
        <x:v>-0.1</x:v>
      </x:c>
      <x:c r="AG14" s="14" t="n">
        <x:f>IFERROR((AI14-AVERAGE($AI$5:$AI$65))/STDEV.P($AI$5:$AI$65),0)</x:f>
        <x:v>0</x:v>
      </x:c>
      <x:c r="AH14" s="14" t="n">
        <x:v>0.1</x:v>
      </x:c>
      <x:c r="AI14" s="14"/>
      <x:c r="AJ14" s="14"/>
      <x:c r="AK14" s="13" t="str">
        <x:v>2026Q1</x:v>
      </x:c>
      <x:c r="AL14" s="13"/>
      <x:c r="AM14" s="13" t="str">
        <x:v>No</x:v>
      </x:c>
      <x:c r="AN14" s="10" t="str">
        <x:v>历史加速 31.8ppt / 无forecast不扣分</x:v>
      </x:c>
      <x:c r="AO14" s="10" t="str">
        <x:v>https://www.sec.gov/Archives/edgar/data/320193/000032019326000013/0000320193-26-000013-index.html</x:v>
      </x:c>
      <x:c r="AP14" s="10" t="str">
        <x:v>SEC Companyfacts CY2026Q1: revenue $111.184B, gross profit $54.781B, net income $29.578B</x:v>
      </x:c>
    </x:row>
    <x:row r="15">
      <x:c r="A15" s="13" t="n">
        <x:v>11</x:v>
      </x:c>
      <x:c r="B15" s="13" t="str">
        <x:v>ARM</x:v>
      </x:c>
      <x:c r="C15" s="13" t="str">
        <x:v>Arm Holdings</x:v>
      </x:c>
      <x:c r="D15" s="13" t="str">
        <x:v>CPU IP</x:v>
      </x:c>
      <x:c r="E15" s="13" t="str">
        <x:v>Watch</x:v>
      </x:c>
      <x:c r="F15" s="13" t="n">
        <x:v>0</x:v>
      </x:c>
      <x:c r="G15" s="14" t="n">
        <x:f>IFERROR((H15-MIN($H$5:$H$65)+0.5)/(SUM($H$5:$H$65)-COUNT($H$5:$H$65)*MIN($H$5:$H$65)+0.5*COUNT($H$5:$H$65))*100,"")</x:f>
        <x:v>2.080250618959598</x:v>
      </x:c>
      <x:c r="H15" s="14" t="n">
        <x:f>$C$2*2*(N15/10)+$E$2*S15+$G$2*Y15+$I$2*AE15+$K$2*AJ15</x:f>
        <x:v>0.6242094780187841</x:v>
      </x:c>
      <x:c r="I15" s="14" t="n">
        <x:f>$C$2*2*(N15/10)</x:f>
        <x:v>0.35200000000000004</x:v>
      </x:c>
      <x:c r="J15" s="14" t="n">
        <x:f>$E$2*S15</x:f>
        <x:v>-0.031540796564413845</x:v>
      </x:c>
      <x:c r="K15" s="14" t="n">
        <x:f>$G$2*Y15</x:f>
        <x:v>0.25188771635582957</x:v>
      </x:c>
      <x:c r="L15" s="14" t="n">
        <x:f>$I$2*AE15</x:f>
        <x:v>0.0518625582273684</x:v>
      </x:c>
      <x:c r="M15" s="14" t="n">
        <x:f>$K$2*AJ15</x:f>
        <x:v>0</x:v>
      </x:c>
      <x:c r="N15" s="15" t="n">
        <x:v>8</x:v>
      </x:c>
      <x:c r="O15" s="15" t="n">
        <x:v>20.161290322580648</x:v>
      </x:c>
      <x:c r="P15" s="15" t="n">
        <x:v>18.799668311515287</x:v>
      </x:c>
      <x:c r="Q15" s="14" t="n">
        <x:f>IFERROR((O15-AVERAGE($O$5:$O$65))/STDEV.P($O$5:$O$65),0)</x:f>
        <x:v>-0.4004307509669812</x:v>
      </x:c>
      <x:c r="R15" s="14" t="n">
        <x:f>IFERROR((P15-AVERAGE($P$5:$P$65))/STDEV.P($P$5:$P$65),0)</x:f>
        <x:v>0.2930743008756246</x:v>
      </x:c>
      <x:c r="S15" s="14" t="n">
        <x:f>0.65*Q15+0.35*R15</x:f>
        <x:v>-0.1577039828220692</x:v>
      </x:c>
      <x:c r="T15" s="15" t="n">
        <x:v>97.85</x:v>
      </x:c>
      <x:c r="U15" s="15" t="n">
        <x:v>21.01</x:v>
      </x:c>
      <x:c r="V15" s="15" t="n">
        <x:v>21.01</x:v>
      </x:c>
      <x:c r="W15" s="14" t="n">
        <x:f>IFERROR((T15-AVERAGE($T$5:$T$65))/STDEV.P($T$5:$T$65),0)</x:f>
        <x:v>2.1035996492925526</x:v>
      </x:c>
      <x:c r="X15" s="14" t="n">
        <x:f>IFERROR((V15-AVERAGE($V$5:$V$65))/STDEV.P($V$5:$V$65),0)</x:f>
        <x:v>-0.006803019490959067</x:v>
      </x:c>
      <x:c r="Y15" s="14" t="n">
        <x:f>0.6*W15+0.4*X15</x:f>
        <x:v>1.2594385817791478</x:v>
      </x:c>
      <x:c r="Z15" s="15" t="n">
        <x:v>1500</x:v>
      </x:c>
      <x:c r="AA15" s="15" t="n">
        <x:v>0.998</x:v>
      </x:c>
      <x:c r="AB15" s="15" t="n">
        <x:v>16.74</x:v>
      </x:c>
      <x:c r="AC15" s="15"/>
      <x:c r="AD15" s="14" t="n">
        <x:v>8.777006789531047</x:v>
      </x:c>
      <x:c r="AE15" s="14" t="n">
        <x:f>IFERROR((AD15-AVERAGE($AD$5:$AD$65))/STDEV.P($AD$5:$AD$65),0)</x:f>
        <x:v>0.28812532348538</x:v>
      </x:c>
      <x:c r="AF15" s="14" t="n">
        <x:f>-AH15+0.2*AG15</x:f>
        <x:v>-0.31063749999999996</x:v>
      </x:c>
      <x:c r="AG15" s="14" t="n">
        <x:f>IFERROR((AI15-AVERAGE($AI$5:$AI$65))/STDEV.P($AI$5:$AI$65),0)</x:f>
        <x:v>0</x:v>
      </x:c>
      <x:c r="AH15" s="14" t="n">
        <x:v>0.31063749999999996</x:v>
      </x:c>
      <x:c r="AI15" s="14"/>
      <x:c r="AJ15" s="14"/>
      <x:c r="AK15" s="13" t="str">
        <x:v>2026Q1</x:v>
      </x:c>
      <x:c r="AL15" s="13"/>
      <x:c r="AM15" s="13" t="str">
        <x:v>No</x:v>
      </x:c>
      <x:c r="AN15" s="10" t="str">
        <x:v>历史加速 18.8ppt / 无forecast不扣分</x:v>
      </x:c>
      <x:c r="AO15" s="10" t="str">
        <x:v>https://www.sec.gov/Archives/edgar/data/1973239/000197323926000097/0001973239-26-000097-index.html</x:v>
      </x:c>
      <x:c r="AP15" s="10" t="str">
        <x:v>FY2026 Q4 / Jan-Mar 2026 derived from SEC 20-F FY2026 minus 6-K Apr-Jun/Jul-Sep/Oct-Dec 2025: revenue $1.490B, gross profit $1.458B, net income $0.313B</x:v>
      </x:c>
    </x:row>
    <x:row r="16">
      <x:c r="A16" s="13" t="n">
        <x:v>12</x:v>
      </x:c>
      <x:c r="B16" s="13" t="str">
        <x:v>CRM</x:v>
      </x:c>
      <x:c r="C16" s="13" t="str">
        <x:v>Salesforce</x:v>
      </x:c>
      <x:c r="D16" s="13" t="str">
        <x:v>AI CRM</x:v>
      </x:c>
      <x:c r="E16" s="13" t="str">
        <x:v>Watch</x:v>
      </x:c>
      <x:c r="F16" s="13" t="n">
        <x:v>0</x:v>
      </x:c>
      <x:c r="G16" s="14" t="n">
        <x:f>IFERROR((H16-MIN($H$5:$H$65)+0.5)/(SUM($H$5:$H$65)-COUNT($H$5:$H$65)*MIN($H$5:$H$65)+0.5*COUNT($H$5:$H$65))*100,"")</x:f>
        <x:v>1.8287233279914807</x:v>
      </x:c>
      <x:c r="H16" s="14" t="n">
        <x:f>$C$2*2*(N16/10)+$E$2*S16+$G$2*Y16+$I$2*AE16+$K$2*AJ16</x:f>
        <x:v>0.45657524661038973</x:v>
      </x:c>
      <x:c r="I16" s="14" t="n">
        <x:f>$C$2*2*(N16/10)</x:f>
        <x:v>0.264</x:v>
      </x:c>
      <x:c r="J16" s="14" t="n">
        <x:f>$E$2*S16</x:f>
        <x:v>-0.07733105130799432</x:v>
      </x:c>
      <x:c r="K16" s="14" t="n">
        <x:f>$G$2*Y16</x:f>
        <x:v>0.1285695565787773</x:v>
      </x:c>
      <x:c r="L16" s="14" t="n">
        <x:f>$I$2*AE16</x:f>
        <x:v>0.14133674133960675</x:v>
      </x:c>
      <x:c r="M16" s="14" t="n">
        <x:f>$K$2*AJ16</x:f>
        <x:v>0</x:v>
      </x:c>
      <x:c r="N16" s="15" t="n">
        <x:v>6</x:v>
      </x:c>
      <x:c r="O16" s="15" t="n">
        <x:v>13.224821973550348</x:v>
      </x:c>
      <x:c r="P16" s="15" t="n">
        <x:v>0.6529053728245079</x:v>
      </x:c>
      <x:c r="Q16" s="14" t="n">
        <x:f>IFERROR((O16-AVERAGE($O$5:$O$65))/STDEV.P($O$5:$O$65),0)</x:f>
        <x:v>-0.5398915262003966</x:v>
      </x:c>
      <x:c r="R16" s="14" t="n">
        <x:f>IFERROR((P16-AVERAGE($P$5:$P$65))/STDEV.P($P$5:$P$65),0)</x:f>
        <x:v>-0.10207361288489643</x:v>
      </x:c>
      <x:c r="S16" s="14" t="n">
        <x:f>0.65*Q16+0.35*R16</x:f>
        <x:v>-0.38665525653997157</x:v>
      </x:c>
      <x:c r="T16" s="15" t="n">
        <x:v>76.92</x:v>
      </x:c>
      <x:c r="U16" s="15" t="n">
        <x:v>18.93</x:v>
      </x:c>
      <x:c r="V16" s="15" t="n">
        <x:v>18.93</x:v>
      </x:c>
      <x:c r="W16" s="14" t="n">
        <x:f>IFERROR((T16-AVERAGE($T$5:$T$65))/STDEV.P($T$5:$T$65),0)</x:f>
        <x:v>1.1408969342966464</x:v>
      </x:c>
      <x:c r="X16" s="14" t="n">
        <x:f>IFERROR((V16-AVERAGE($V$5:$V$65))/STDEV.P($V$5:$V$65),0)</x:f>
        <x:v>-0.1042259442102529</x:v>
      </x:c>
      <x:c r="Y16" s="14" t="n">
        <x:f>0.6*W16+0.4*X16</x:f>
        <x:v>0.6428477828938866</x:v>
      </x:c>
      <x:c r="Z16" s="15" t="n">
        <x:v>2500</x:v>
      </x:c>
      <x:c r="AA16" s="15" t="n">
        <x:v>9.498</x:v>
      </x:c>
      <x:c r="AB16" s="15" t="n">
        <x:v>21.33</x:v>
      </x:c>
      <x:c r="AC16" s="15" t="n">
        <x:v>-7.112</x:v>
      </x:c>
      <x:c r="AD16" s="14" t="n">
        <x:v>9.93659046816571</x:v>
      </x:c>
      <x:c r="AE16" s="14" t="n">
        <x:f>IFERROR((AD16-AVERAGE($AD$5:$AD$65))/STDEV.P($AD$5:$AD$65),0)</x:f>
        <x:v>0.7852041185533709</x:v>
      </x:c>
      <x:c r="AF16" s="14" t="n">
        <x:f>-AH16+0.2*AG16</x:f>
        <x:v>-0.1</x:v>
      </x:c>
      <x:c r="AG16" s="14" t="n">
        <x:f>IFERROR((AI16-AVERAGE($AI$5:$AI$65))/STDEV.P($AI$5:$AI$65),0)</x:f>
        <x:v>0</x:v>
      </x:c>
      <x:c r="AH16" s="14" t="n">
        <x:v>0.1</x:v>
      </x:c>
      <x:c r="AI16" s="14"/>
      <x:c r="AJ16" s="14"/>
      <x:c r="AK16" s="13" t="str">
        <x:v>2026Q1</x:v>
      </x:c>
      <x:c r="AL16" s="13" t="n">
        <x:v>113.1</x:v>
      </x:c>
      <x:c r="AM16" s="13" t="str">
        <x:v>Yes</x:v>
      </x:c>
      <x:c r="AN16" s="10" t="str">
        <x:v>历史加速 2.1ppt / 前瞻 -2.6ppt</x:v>
      </x:c>
      <x:c r="AO16" s="10" t="str">
        <x:v>https://www.sec.gov/Archives/edgar/data/1108524/000110852426000127/0001108524-26-000127-index.html</x:v>
      </x:c>
      <x:c r="AP16" s="10" t="str">
        <x:v>SEC Companyfacts CY2026Q1: revenue $11.133B, gross profit $8.563B, net income $2.107B</x:v>
      </x:c>
    </x:row>
    <x:row r="17">
      <x:c r="A17" s="13" t="n">
        <x:v>13</x:v>
      </x:c>
      <x:c r="B17" s="13" t="str">
        <x:v>ANET</x:v>
      </x:c>
      <x:c r="C17" s="13" t="str">
        <x:v>Arista Networks</x:v>
      </x:c>
      <x:c r="D17" s="13" t="str">
        <x:v>AI 以太网</x:v>
      </x:c>
      <x:c r="E17" s="13" t="str">
        <x:v>Watch</x:v>
      </x:c>
      <x:c r="F17" s="13" t="n">
        <x:v>0</x:v>
      </x:c>
      <x:c r="G17" s="14" t="n">
        <x:f>IFERROR((H17-MIN($H$5:$H$65)+0.5)/(SUM($H$5:$H$65)-COUNT($H$5:$H$65)*MIN($H$5:$H$65)+0.5*COUNT($H$5:$H$65))*100,"")</x:f>
        <x:v>1.9740676776960948</x:v>
      </x:c>
      <x:c r="H17" s="14" t="n">
        <x:f>$C$2*2*(N17/10)+$E$2*S17+$G$2*Y17+$I$2*AE17+$K$2*AJ17</x:f>
        <x:v>0.5534422237821601</x:v>
      </x:c>
      <x:c r="I17" s="14" t="n">
        <x:f>$C$2*2*(N17/10)</x:f>
        <x:v>0.396</x:v>
      </x:c>
      <x:c r="J17" s="14" t="n">
        <x:f>$E$2*S17</x:f>
        <x:v>-0.021520229644682812</x:v>
      </x:c>
      <x:c r="K17" s="14" t="n">
        <x:f>$G$2*Y17</x:f>
        <x:v>0.11622249173525799</x:v>
      </x:c>
      <x:c r="L17" s="14" t="n">
        <x:f>$I$2*AE17</x:f>
        <x:v>0.06273996169158486</x:v>
      </x:c>
      <x:c r="M17" s="14" t="n">
        <x:f>$K$2*AJ17</x:f>
        <x:v>0</x:v>
      </x:c>
      <x:c r="N17" s="15" t="n">
        <x:v>9</x:v>
      </x:c>
      <x:c r="O17" s="15" t="n">
        <x:v>35.5</x:v>
      </x:c>
      <x:c r="P17" s="15" t="n">
        <x:v>-0.928180205366446</x:v>
      </x:c>
      <x:c r="Q17" s="14" t="n">
        <x:f>IFERROR((O17-AVERAGE($O$5:$O$65))/STDEV.P($O$5:$O$65),0)</x:f>
        <x:v>-0.09203918409819534</x:v>
      </x:c>
      <x:c r="R17" s="14" t="n">
        <x:f>IFERROR((P17-AVERAGE($P$5:$P$65))/STDEV.P($P$5:$P$65),0)</x:f>
        <x:v>-0.1365019387416774</x:v>
      </x:c>
      <x:c r="S17" s="14" t="n">
        <x:f>0.65*Q17+0.35*R17</x:f>
        <x:v>-0.10760114822341406</x:v>
      </x:c>
      <x:c r="T17" s="15" t="n">
        <x:v>61.9</x:v>
      </x:c>
      <x:c r="U17" s="15" t="n">
        <x:v>37.76</x:v>
      </x:c>
      <x:c r="V17" s="15" t="n">
        <x:v>37.76</x:v>
      </x:c>
      <x:c r="W17" s="14" t="n">
        <x:f>IFERROR((T17-AVERAGE($T$5:$T$65))/STDEV.P($T$5:$T$65),0)</x:f>
        <x:v>0.4500323963492732</x:v>
      </x:c>
      <x:c r="X17" s="14" t="n">
        <x:f>IFERROR((V17-AVERAGE($V$5:$V$65))/STDEV.P($V$5:$V$65),0)</x:f>
        <x:v>0.7777325521668149</x:v>
      </x:c>
      <x:c r="Y17" s="14" t="n">
        <x:f>0.6*W17+0.4*X17</x:f>
        <x:v>0.5811124586762899</x:v>
      </x:c>
      <x:c r="Z17" s="15" t="n">
        <x:v>1400</x:v>
      </x:c>
      <x:c r="AA17" s="15" t="n">
        <x:v>2</x:v>
      </x:c>
      <x:c r="AB17" s="15" t="n">
        <x:v>18.45</x:v>
      </x:c>
      <x:c r="AC17" s="15"/>
      <x:c r="AD17" s="14" t="n">
        <x:v>8.91797772756361</x:v>
      </x:c>
      <x:c r="AE17" s="14" t="n">
        <x:f>IFERROR((AD17-AVERAGE($AD$5:$AD$65))/STDEV.P($AD$5:$AD$65),0)</x:f>
        <x:v>0.348555342731027</x:v>
      </x:c>
      <x:c r="AF17" s="14" t="n">
        <x:f>-AH17+0.2*AG17</x:f>
        <x:v>-0.4</x:v>
      </x:c>
      <x:c r="AG17" s="14" t="n">
        <x:f>IFERROR((AI17-AVERAGE($AI$5:$AI$65))/STDEV.P($AI$5:$AI$65),0)</x:f>
        <x:v>0</x:v>
      </x:c>
      <x:c r="AH17" s="14" t="n">
        <x:v>0.4</x:v>
      </x:c>
      <x:c r="AI17" s="14"/>
      <x:c r="AJ17" s="14"/>
      <x:c r="AK17" s="13" t="str">
        <x:v>2026Q1</x:v>
      </x:c>
      <x:c r="AL17" s="13" t="n">
        <x:v>28</x:v>
      </x:c>
      <x:c r="AM17" s="13" t="str">
        <x:v>Yes</x:v>
      </x:c>
      <x:c r="AN17" s="10" t="str">
        <x:v>历史加速 0.8ppt / 前瞻 -5.0ppt</x:v>
      </x:c>
      <x:c r="AO17" s="10" t="str">
        <x:v>https://www.sec.gov/Archives/edgar/data/1596532/000159653226000078/0001596532-26-000078-index.html</x:v>
      </x:c>
      <x:c r="AP17" s="10" t="str">
        <x:v>SEC Companyfacts CY2026Q1: revenue $2.709B, gross profit $1.677B, net income $1.023B</x:v>
      </x:c>
    </x:row>
    <x:row r="18">
      <x:c r="A18" s="13" t="n">
        <x:v>14</x:v>
      </x:c>
      <x:c r="B18" s="13" t="str">
        <x:v>NOW</x:v>
      </x:c>
      <x:c r="C18" s="13" t="str">
        <x:v>ServiceNow</x:v>
      </x:c>
      <x:c r="D18" s="13" t="str">
        <x:v>AI 工作流</x:v>
      </x:c>
      <x:c r="E18" s="13" t="str">
        <x:v>Watch</x:v>
      </x:c>
      <x:c r="F18" s="13" t="n">
        <x:v>0</x:v>
      </x:c>
      <x:c r="G18" s="14" t="n">
        <x:f>IFERROR((H18-MIN($H$5:$H$65)+0.5)/(SUM($H$5:$H$65)-COUNT($H$5:$H$65)*MIN($H$5:$H$65)+0.5*COUNT($H$5:$H$65))*100,"")</x:f>
        <x:v>1.807331766376883</x:v>
      </x:c>
      <x:c r="H18" s="14" t="n">
        <x:f>$C$2*2*(N18/10)+$E$2*S18+$G$2*Y18+$I$2*AE18+$K$2*AJ18</x:f>
        <x:v>0.4423185113826289</x:v>
      </x:c>
      <x:c r="I18" s="14" t="n">
        <x:f>$C$2*2*(N18/10)</x:f>
        <x:v>0.308</x:v>
      </x:c>
      <x:c r="J18" s="14" t="n">
        <x:f>$E$2*S18</x:f>
        <x:v>-0.05705492841797064</x:v>
      </x:c>
      <x:c r="K18" s="14" t="n">
        <x:f>$G$2*Y18</x:f>
        <x:v>0.09404011550000016</x:v>
      </x:c>
      <x:c r="L18" s="14" t="n">
        <x:f>$I$2*AE18</x:f>
        <x:v>0.09733332430059935</x:v>
      </x:c>
      <x:c r="M18" s="14" t="n">
        <x:f>$K$2*AJ18</x:f>
        <x:v>0</x:v>
      </x:c>
      <x:c r="N18" s="15" t="n">
        <x:v>7</x:v>
      </x:c>
      <x:c r="O18" s="15" t="n">
        <x:v>22.006472491909392</x:v>
      </x:c>
      <x:c r="P18" s="15" t="n">
        <x:v>-1.1030599727865975</x:v>
      </x:c>
      <x:c r="Q18" s="14" t="n">
        <x:f>IFERROR((O18-AVERAGE($O$5:$O$65))/STDEV.P($O$5:$O$65),0)</x:f>
        <x:v>-0.36333254438215107</x:v>
      </x:c>
      <x:c r="R18" s="14" t="n">
        <x:f>IFERROR((P18-AVERAGE($P$5:$P$65))/STDEV.P($P$5:$P$65),0)</x:f>
        <x:v>-0.14030996640415722</x:v>
      </x:c>
      <x:c r="S18" s="14" t="n">
        <x:f>0.65*Q18+0.35*R18</x:f>
        <x:v>-0.2852746420898532</x:v>
      </x:c>
      <x:c r="T18" s="15" t="n">
        <x:v>75.07</x:v>
      </x:c>
      <x:c r="U18" s="15" t="n">
        <x:v>12.44</x:v>
      </x:c>
      <x:c r="V18" s="15" t="n">
        <x:v>12.44</x:v>
      </x:c>
      <x:c r="W18" s="14" t="n">
        <x:f>IFERROR((T18-AVERAGE($T$5:$T$65))/STDEV.P($T$5:$T$65),0)</x:f>
        <x:v>1.055803765508188</x:v>
      </x:c>
      <x:c r="X18" s="14" t="n">
        <x:f>IFERROR((V18-AVERAGE($V$5:$V$65))/STDEV.P($V$5:$V$65),0)</x:f>
        <x:v>-0.40820420451228</x:v>
      </x:c>
      <x:c r="Y18" s="14" t="n">
        <x:f>0.6*W18+0.4*X18</x:f>
        <x:v>0.47020057750000077</x:v>
      </x:c>
      <x:c r="Z18" s="15" t="n">
        <x:v>2200</x:v>
      </x:c>
      <x:c r="AA18" s="15" t="n">
        <x:v>2.704</x:v>
      </x:c>
      <x:c r="AB18" s="15" t="n">
        <x:v>17.93</x:v>
      </x:c>
      <x:c r="AC18" s="15"/>
      <x:c r="AD18" s="14" t="n">
        <x:v>9.366307036367514</x:v>
      </x:c>
      <x:c r="AE18" s="14" t="n">
        <x:f>IFERROR((AD18-AVERAGE($AD$5:$AD$65))/STDEV.P($AD$5:$AD$65),0)</x:f>
        <x:v>0.5407406905588853</x:v>
      </x:c>
      <x:c r="AF18" s="14" t="n">
        <x:f>-AH18+0.2*AG18</x:f>
        <x:v>-0.1</x:v>
      </x:c>
      <x:c r="AG18" s="14" t="n">
        <x:f>IFERROR((AI18-AVERAGE($AI$5:$AI$65))/STDEV.P($AI$5:$AI$65),0)</x:f>
        <x:v>0</x:v>
      </x:c>
      <x:c r="AH18" s="14" t="n">
        <x:v>0.1</x:v>
      </x:c>
      <x:c r="AI18" s="14"/>
      <x:c r="AJ18" s="14"/>
      <x:c r="AK18" s="13" t="str">
        <x:v>2026Q1</x:v>
      </x:c>
      <x:c r="AL18" s="13" t="n">
        <x:v>38.175</x:v>
      </x:c>
      <x:c r="AM18" s="13" t="str">
        <x:v>Yes</x:v>
      </x:c>
      <x:c r="AN18" s="10" t="str">
        <x:v>历史加速 0.1ppt / 前瞻 -3.9ppt</x:v>
      </x:c>
      <x:c r="AO18" s="10" t="str">
        <x:v>https://www.sec.gov/Archives/edgar/data/1373715/000137371526000056/0001373715-26-000056-index.html</x:v>
      </x:c>
      <x:c r="AP18" s="10" t="str">
        <x:v>SEC Companyfacts CY2026Q1: revenue $3.770B, gross profit $2.830B, net income $0.469B</x:v>
      </x:c>
    </x:row>
    <x:row r="19">
      <x:c r="A19" s="13" t="n">
        <x:v>15</x:v>
      </x:c>
      <x:c r="B19" s="13" t="str">
        <x:v>ORCL</x:v>
      </x:c>
      <x:c r="C19" s="13" t="str">
        <x:v>Oracle</x:v>
      </x:c>
      <x:c r="D19" s="13" t="str">
        <x:v>云/数据库</x:v>
      </x:c>
      <x:c r="E19" s="13" t="str">
        <x:v>Watch</x:v>
      </x:c>
      <x:c r="F19" s="13" t="n">
        <x:v>0</x:v>
      </x:c>
      <x:c r="G19" s="14" t="n">
        <x:f>IFERROR((H19-MIN($H$5:$H$65)+0.5)/(SUM($H$5:$H$65)-COUNT($H$5:$H$65)*MIN($H$5:$H$65)+0.5*COUNT($H$5:$H$65))*100,"")</x:f>
        <x:v>1.747051021112702</x:v>
      </x:c>
      <x:c r="H19" s="14" t="n">
        <x:f>$C$2*2*(N19/10)+$E$2*S19+$G$2*Y19+$I$2*AE19+$K$2*AJ19</x:f>
        <x:v>0.40214348161869357</x:v>
      </x:c>
      <x:c r="I19" s="14" t="n">
        <x:f>$C$2*2*(N19/10)</x:f>
        <x:v>0.35200000000000004</x:v>
      </x:c>
      <x:c r="J19" s="14" t="n">
        <x:f>$E$2*S19</x:f>
        <x:v>-0.05005613353782924</x:v>
      </x:c>
      <x:c r="K19" s="14" t="n">
        <x:f>$G$2*Y19</x:f>
        <x:v>0.022188451709199655</x:v>
      </x:c>
      <x:c r="L19" s="14" t="n">
        <x:f>$I$2*AE19</x:f>
        <x:v>0.0780111634473231</x:v>
      </x:c>
      <x:c r="M19" s="14" t="n">
        <x:f>$K$2*AJ19</x:f>
        <x:v>0</x:v>
      </x:c>
      <x:c r="N19" s="15" t="n">
        <x:v>8</x:v>
      </x:c>
      <x:c r="O19" s="15" t="n">
        <x:v>21.65605095541401</x:v>
      </x:c>
      <x:c r="P19" s="15" t="n">
        <x:v>4.089428970197361</x:v>
      </x:c>
      <x:c r="Q19" s="14" t="n">
        <x:f>IFERROR((O19-AVERAGE($O$5:$O$65))/STDEV.P($O$5:$O$65),0)</x:f>
        <x:v>-0.3703779249243923</x:v>
      </x:c>
      <x:c r="R19" s="14" t="n">
        <x:f>IFERROR((P19-AVERAGE($P$5:$P$65))/STDEV.P($P$5:$P$65),0)</x:f>
        <x:v>-0.02724290425226061</x:v>
      </x:c>
      <x:c r="S19" s="14" t="n">
        <x:f>0.65*Q19+0.35*R19</x:f>
        <x:v>-0.2502806676891462</x:v>
      </x:c>
      <x:c r="T19" s="15" t="n">
        <x:v>55.8</x:v>
      </x:c>
      <x:c r="U19" s="15" t="n">
        <x:v>21.65</x:v>
      </x:c>
      <x:c r="V19" s="15" t="n">
        <x:v>21.65</x:v>
      </x:c>
      <x:c r="W19" s="14" t="n">
        <x:f>IFERROR((T19-AVERAGE($T$5:$T$65))/STDEV.P($T$5:$T$65),0)</x:f>
        <x:v>0.1694549208846276</x:v>
      </x:c>
      <x:c r="X19" s="14" t="n">
        <x:f>IFERROR((V19-AVERAGE($V$5:$V$65))/STDEV.P($V$5:$V$65),0)</x:f>
        <x:v>0.023173265038054253</x:v>
      </x:c>
      <x:c r="Y19" s="14" t="n">
        <x:f>0.6*W19+0.4*X19</x:f>
        <x:v>0.11094225854599826</x:v>
      </x:c>
      <x:c r="Z19" s="15" t="n">
        <x:v>2200</x:v>
      </x:c>
      <x:c r="AA19" s="15" t="n">
        <x:v>8.47</x:v>
      </x:c>
      <x:c r="AB19" s="15" t="n">
        <x:v>12.32</x:v>
      </x:c>
      <x:c r="AC19" s="15" t="n">
        <x:v>10.786</x:v>
      </x:c>
      <x:c r="AD19" s="14" t="n">
        <x:v>9.115892206278408</x:v>
      </x:c>
      <x:c r="AE19" s="14" t="n">
        <x:f>IFERROR((AD19-AVERAGE($AD$5:$AD$65))/STDEV.P($AD$5:$AD$65),0)</x:f>
        <x:v>0.4333953524851284</x:v>
      </x:c>
      <x:c r="AF19" s="14" t="n">
        <x:f>-AH19+0.2*AG19</x:f>
        <x:v>-0.1</x:v>
      </x:c>
      <x:c r="AG19" s="14" t="n">
        <x:f>IFERROR((AI19-AVERAGE($AI$5:$AI$65))/STDEV.P($AI$5:$AI$65),0)</x:f>
        <x:v>0</x:v>
      </x:c>
      <x:c r="AH19" s="14" t="n">
        <x:v>0.1</x:v>
      </x:c>
      <x:c r="AI19" s="14"/>
      <x:c r="AJ19" s="14"/>
      <x:c r="AK19" s="13" t="str">
        <x:v>2026Q1</x:v>
      </x:c>
      <x:c r="AL19" s="13"/>
      <x:c r="AM19" s="13" t="str">
        <x:v>No</x:v>
      </x:c>
      <x:c r="AN19" s="10" t="str">
        <x:v>历史加速 4.1ppt / 无forecast不扣分</x:v>
      </x:c>
      <x:c r="AO19" s="10" t="str">
        <x:v>https://www.sec.gov/Archives/edgar/data/1341439/000119312526101045/0001193125-26-101045-index.html</x:v>
      </x:c>
      <x:c r="AP19" s="10" t="str">
        <x:v>Oracle SEC/IR FY2026Q3 business-line table: revenue $17.190B, gross profit/direct margin $9.592B (revenues minus direct business-line expenses $7.598B), net income $3.721B</x:v>
      </x:c>
    </x:row>
    <x:row r="20">
      <x:c r="A20" s="13" t="n">
        <x:v>16</x:v>
      </x:c>
      <x:c r="B20" s="13" t="str">
        <x:v>ASML</x:v>
      </x:c>
      <x:c r="C20" s="13" t="str">
        <x:v>ASML</x:v>
      </x:c>
      <x:c r="D20" s="13" t="str">
        <x:v>光刻机</x:v>
      </x:c>
      <x:c r="E20" s="13" t="str">
        <x:v>Watch</x:v>
      </x:c>
      <x:c r="F20" s="13" t="n">
        <x:v>0</x:v>
      </x:c>
      <x:c r="G20" s="14" t="n">
        <x:f>IFERROR((H20-MIN($H$5:$H$65)+0.5)/(SUM($H$5:$H$65)-COUNT($H$5:$H$65)*MIN($H$5:$H$65)+0.5*COUNT($H$5:$H$65))*100,"")</x:f>
        <x:v>1.962528339839454</x:v>
      </x:c>
      <x:c r="H20" s="14" t="n">
        <x:f>$C$2*2*(N20/10)+$E$2*S20+$G$2*Y20+$I$2*AE20+$K$2*AJ20</x:f>
        <x:v>0.5457516545993315</x:v>
      </x:c>
      <x:c r="I20" s="14" t="n">
        <x:f>$C$2*2*(N20/10)</x:f>
        <x:v>0.44</x:v>
      </x:c>
      <x:c r="J20" s="14" t="n">
        <x:f>$E$2*S20</x:f>
        <x:v>-0.06795514699301289</x:v>
      </x:c>
      <x:c r="K20" s="14" t="n">
        <x:f>$G$2*Y20</x:f>
        <x:v>0.044841044112425926</x:v>
      </x:c>
      <x:c r="L20" s="14" t="n">
        <x:f>$I$2*AE20</x:f>
        <x:v>0.12886575747991852</x:v>
      </x:c>
      <x:c r="M20" s="14" t="n">
        <x:f>$K$2*AJ20</x:f>
        <x:v>0</x:v>
      </x:c>
      <x:c r="N20" s="15" t="n">
        <x:v>10</x:v>
      </x:c>
      <x:c r="O20" s="15" t="n">
        <x:v>18.796068796068788</x:v>
      </x:c>
      <x:c r="P20" s="15" t="n">
        <x:v>-2.74921253091785</x:v>
      </x:c>
      <x:c r="Q20" s="14" t="n">
        <x:f>IFERROR((O20-AVERAGE($O$5:$O$65))/STDEV.P($O$5:$O$65),0)</x:f>
        <x:v>-0.42787913577498043</x:v>
      </x:c>
      <x:c r="R20" s="14" t="n">
        <x:f>IFERROR((P20-AVERAGE($P$5:$P$65))/STDEV.P($P$5:$P$65),0)</x:f>
        <x:v>-0.17615513346093467</x:v>
      </x:c>
      <x:c r="S20" s="14" t="n">
        <x:f>0.65*Q20+0.35*R20</x:f>
        <x:v>-0.3397757349650644</x:v>
      </x:c>
      <x:c r="T20" s="15" t="n">
        <x:v>53</x:v>
      </x:c>
      <x:c r="U20" s="15" t="n">
        <x:v>31.82</x:v>
      </x:c>
      <x:c r="V20" s="15" t="n">
        <x:v>31.82</x:v>
      </x:c>
      <x:c r="W20" s="14" t="n">
        <x:f>IFERROR((T20-AVERAGE($T$5:$T$65))/STDEV.P($T$5:$T$65),0)</x:f>
        <x:v>0.040665260015610105</x:v>
      </x:c>
      <x:c r="X20" s="14" t="n">
        <x:f>IFERROR((V20-AVERAGE($V$5:$V$65))/STDEV.P($V$5:$V$65),0)</x:f>
        <x:v>0.4995151613819088</x:v>
      </x:c>
      <x:c r="Y20" s="14" t="n">
        <x:f>0.6*W20+0.4*X20</x:f>
        <x:v>0.2242052205621296</x:v>
      </x:c>
      <x:c r="Z20" s="15" t="n">
        <x:v>5972</x:v>
      </x:c>
      <x:c r="AA20" s="15" t="n">
        <x:v>3.802</x:v>
      </x:c>
      <x:c r="AB20" s="15" t="n">
        <x:v>9.83</x:v>
      </x:c>
      <x:c r="AC20" s="15" t="n">
        <x:v>11.251</x:v>
      </x:c>
      <x:c r="AD20" s="14" t="n">
        <x:v>9.774966759100153</x:v>
      </x:c>
      <x:c r="AE20" s="14" t="n">
        <x:f>IFERROR((AD20-AVERAGE($AD$5:$AD$65))/STDEV.P($AD$5:$AD$65),0)</x:f>
        <x:v>0.7159208748884363</x:v>
      </x:c>
      <x:c r="AF20" s="14" t="n">
        <x:f>-AH20+0.2*AG20</x:f>
        <x:v>-0.4678125000000001</x:v>
      </x:c>
      <x:c r="AG20" s="14" t="n">
        <x:f>IFERROR((AI20-AVERAGE($AI$5:$AI$65))/STDEV.P($AI$5:$AI$65),0)</x:f>
        <x:v>0</x:v>
      </x:c>
      <x:c r="AH20" s="14" t="n">
        <x:v>0.4678125000000001</x:v>
      </x:c>
      <x:c r="AI20" s="14"/>
      <x:c r="AJ20" s="14"/>
      <x:c r="AK20" s="13" t="str">
        <x:v>2026Q1</x:v>
      </x:c>
      <x:c r="AL20" s="13" t="n">
        <x:v>87.4</x:v>
      </x:c>
      <x:c r="AM20" s="13" t="str">
        <x:v>Yes</x:v>
      </x:c>
      <x:c r="AN20" s="10" t="str">
        <x:v>历史加速 3.3ppt / 前瞻 -16.8ppt</x:v>
      </x:c>
      <x:c r="AO20" s="10" t="str">
        <x:v>https://www.asml.com/en/investors/financial-results/q1-2026</x:v>
      </x:c>
      <x:c r="AP20" s="10" t="str">
        <x:v>Q1 2026 actual: net sales EUR8.800B, gross profit EUR4.664B, net income EUR2.800B; converted to USD at EUR/USD avg 1.099</x:v>
      </x:c>
    </x:row>
    <x:row r="21">
      <x:c r="A21" s="13" t="n">
        <x:v>17</x:v>
      </x:c>
      <x:c r="B21" s="13" t="str">
        <x:v>KLAC</x:v>
      </x:c>
      <x:c r="C21" s="13" t="str">
        <x:v>KLA Corp</x:v>
      </x:c>
      <x:c r="D21" s="13" t="str">
        <x:v>量测设备</x:v>
      </x:c>
      <x:c r="E21" s="13" t="str">
        <x:v>Watch</x:v>
      </x:c>
      <x:c r="F21" s="13" t="n">
        <x:v>0</x:v>
      </x:c>
      <x:c r="G21" s="14" t="n">
        <x:f>IFERROR((H21-MIN($H$5:$H$65)+0.5)/(SUM($H$5:$H$65)-COUNT($H$5:$H$65)*MIN($H$5:$H$65)+0.5*COUNT($H$5:$H$65))*100,"")</x:f>
        <x:v>1.921776612343528</x:v>
      </x:c>
      <x:c r="H21" s="14" t="n">
        <x:f>$C$2*2*(N21/10)+$E$2*S21+$G$2*Y21+$I$2*AE21+$K$2*AJ21</x:f>
        <x:v>0.5185920390719261</x:v>
      </x:c>
      <x:c r="I21" s="14" t="n">
        <x:f>$C$2*2*(N21/10)</x:f>
        <x:v>0.35200000000000004</x:v>
      </x:c>
      <x:c r="J21" s="14" t="n">
        <x:f>$E$2*S21</x:f>
        <x:v>-0.082683511298549</x:v>
      </x:c>
      <x:c r="K21" s="14" t="n">
        <x:f>$G$2*Y21</x:f>
        <x:v>0.10221241524136844</x:v>
      </x:c>
      <x:c r="L21" s="14" t="n">
        <x:f>$I$2*AE21</x:f>
        <x:v>0.14706313512910657</x:v>
      </x:c>
      <x:c r="M21" s="14" t="n">
        <x:f>$K$2*AJ21</x:f>
        <x:v>0</x:v>
      </x:c>
      <x:c r="N21" s="15" t="n">
        <x:v>8</x:v>
      </x:c>
      <x:c r="O21" s="15" t="n">
        <x:v>11.764705882352944</x:v>
      </x:c>
      <x:c r="P21" s="15" t="n">
        <x:v>-0.35489187128318433</x:v>
      </x:c>
      <x:c r="Q21" s="14" t="n">
        <x:f>IFERROR((O21-AVERAGE($O$5:$O$65))/STDEV.P($O$5:$O$65),0)</x:f>
        <x:v>-0.5692478083547932</x:v>
      </x:c>
      <x:c r="R21" s="14" t="n">
        <x:f>IFERROR((P21-AVERAGE($P$5:$P$65))/STDEV.P($P$5:$P$65),0)</x:f>
        <x:v>-0.12401851732036968</x:v>
      </x:c>
      <x:c r="S21" s="14" t="n">
        <x:f>0.65*Q21+0.35*R21</x:f>
        <x:v>-0.413417556492745</x:v>
      </x:c>
      <x:c r="T21" s="15" t="n">
        <x:v>61.12</x:v>
      </x:c>
      <x:c r="U21" s="15" t="n">
        <x:v>35.17</x:v>
      </x:c>
      <x:c r="V21" s="15" t="n">
        <x:v>35.17</x:v>
      </x:c>
      <x:c r="W21" s="14" t="n">
        <x:f>IFERROR((T21-AVERAGE($T$5:$T$65))/STDEV.P($T$5:$T$65),0)</x:f>
        <x:v>0.4141552765357611</x:v>
      </x:c>
      <x:c r="X21" s="14" t="n">
        <x:f>IFERROR((V21-AVERAGE($V$5:$V$65))/STDEV.P($V$5:$V$65),0)</x:f>
        <x:v>0.6564222757134638</x:v>
      </x:c>
      <x:c r="Y21" s="14" t="n">
        <x:f>0.6*W21+0.4*X21</x:f>
        <x:v>0.5110620762068422</x:v>
      </x:c>
      <x:c r="Z21" s="15" t="n">
        <x:v>2465</x:v>
      </x:c>
      <x:c r="AA21" s="15" t="n">
        <x:v>3.328</x:v>
      </x:c>
      <x:c r="AB21" s="15" t="n">
        <x:v>24.33</x:v>
      </x:c>
      <x:c r="AC21" s="15" t="n">
        <x:v>-3.805</x:v>
      </x:c>
      <x:c r="AD21" s="14" t="n">
        <x:v>10.010804420668737</x:v>
      </x:c>
      <x:c r="AE21" s="14" t="n">
        <x:f>IFERROR((AD21-AVERAGE($AD$5:$AD$65))/STDEV.P($AD$5:$AD$65),0)</x:f>
        <x:v>0.8170174173839254</x:v>
      </x:c>
      <x:c r="AF21" s="14" t="n">
        <x:f>-AH21+0.2*AG21</x:f>
        <x:v>-0.45</x:v>
      </x:c>
      <x:c r="AG21" s="14" t="n">
        <x:f>IFERROR((AI21-AVERAGE($AI$5:$AI$65))/STDEV.P($AI$5:$AI$65),0)</x:f>
        <x:v>0</x:v>
      </x:c>
      <x:c r="AH21" s="14" t="n">
        <x:v>0.45</x:v>
      </x:c>
      <x:c r="AI21" s="14"/>
      <x:c r="AJ21" s="14"/>
      <x:c r="AK21" s="13" t="str">
        <x:v>2026Q1</x:v>
      </x:c>
      <x:c r="AL21" s="13" t="n">
        <x:v>35.75</x:v>
      </x:c>
      <x:c r="AM21" s="13" t="str">
        <x:v>Yes</x:v>
      </x:c>
      <x:c r="AN21" s="10" t="str">
        <x:v>历史加速 -1.1ppt / 前瞻 1.3ppt</x:v>
      </x:c>
      <x:c r="AO21" s="10" t="str">
        <x:v>https://www.sec.gov/Archives/edgar/data/319201/000031920126000016/0000319201-26-000016-index.html</x:v>
      </x:c>
      <x:c r="AP21" s="10" t="str">
        <x:v>SEC Companyfacts CY2026Q1: revenue $3.415B, gross profit $2.087B (revenue minus CostOfRevenue $1.328B), net income $1.201B</x:v>
      </x:c>
    </x:row>
    <x:row r="22">
      <x:c r="A22" s="13" t="n">
        <x:v>18</x:v>
      </x:c>
      <x:c r="B22" s="13" t="str">
        <x:v>CDNS</x:v>
      </x:c>
      <x:c r="C22" s="13" t="str">
        <x:v>Cadence Design</x:v>
      </x:c>
      <x:c r="D22" s="13" t="str">
        <x:v>EDA 软件</x:v>
      </x:c>
      <x:c r="E22" s="13" t="str">
        <x:v>Watch</x:v>
      </x:c>
      <x:c r="F22" s="13" t="n">
        <x:v>0</x:v>
      </x:c>
      <x:c r="G22" s="14" t="n">
        <x:f>IFERROR((H22-MIN($H$5:$H$65)+0.5)/(SUM($H$5:$H$65)-COUNT($H$5:$H$65)*MIN($H$5:$H$65)+0.5*COUNT($H$5:$H$65))*100,"")</x:f>
        <x:v>1.9109751026088955</x:v>
      </x:c>
      <x:c r="H22" s="14" t="n">
        <x:f>$C$2*2*(N22/10)+$E$2*S22+$G$2*Y22+$I$2*AE22+$K$2*AJ22</x:f>
        <x:v>0.5113932067883751</x:v>
      </x:c>
      <x:c r="I22" s="14" t="n">
        <x:f>$C$2*2*(N22/10)</x:f>
        <x:v>0.35200000000000004</x:v>
      </x:c>
      <x:c r="J22" s="14" t="n">
        <x:f>$E$2*S22</x:f>
        <x:v>-0.0631676660401452</x:v>
      </x:c>
      <x:c r="K22" s="14" t="n">
        <x:f>$G$2*Y22</x:f>
        <x:v>0.1900399934618204</x:v>
      </x:c>
      <x:c r="L22" s="14" t="n">
        <x:f>$I$2*AE22</x:f>
        <x:v>0.03252087936669982</x:v>
      </x:c>
      <x:c r="M22" s="14" t="n">
        <x:f>$K$2*AJ22</x:f>
        <x:v>0</x:v>
      </x:c>
      <x:c r="N22" s="15" t="n">
        <x:v>8</x:v>
      </x:c>
      <x:c r="O22" s="15" t="n">
        <x:v>18.548387096774178</x:v>
      </x:c>
      <x:c r="P22" s="15" t="n">
        <x:v>0.8163567244423025</x:v>
      </x:c>
      <x:c r="Q22" s="14" t="n">
        <x:f>IFERROR((O22-AVERAGE($O$5:$O$65))/STDEV.P($O$5:$O$65),0)</x:f>
        <x:v>-0.4328588862844144</x:v>
      </x:c>
      <x:c r="R22" s="14" t="n">
        <x:f>IFERROR((P22-AVERAGE($P$5:$P$65))/STDEV.P($P$5:$P$65),0)</x:f>
        <x:v>-0.09851444033101896</x:v>
      </x:c>
      <x:c r="S22" s="14" t="n">
        <x:f>0.65*Q22+0.35*R22</x:f>
        <x:v>-0.315838330200726</x:v>
      </x:c>
      <x:c r="T22" s="15" t="n">
        <x:v>85.45</x:v>
      </x:c>
      <x:c r="U22" s="15" t="n">
        <x:v>22.77</x:v>
      </x:c>
      <x:c r="V22" s="15" t="n">
        <x:v>22.77</x:v>
      </x:c>
      <x:c r="W22" s="14" t="n">
        <x:f>IFERROR((T22-AVERAGE($T$5:$T$65))/STDEV.P($T$5:$T$65),0)</x:f>
        <x:v>1.533245436872618</x:v>
      </x:c>
      <x:c r="X22" s="14" t="n">
        <x:f>IFERROR((V22-AVERAGE($V$5:$V$65))/STDEV.P($V$5:$V$65),0)</x:f>
        <x:v>0.07563176296382786</x:v>
      </x:c>
      <x:c r="Y22" s="14" t="n">
        <x:f>0.6*W22+0.4*X22</x:f>
        <x:v>0.950199967309102</x:v>
      </x:c>
      <x:c r="Z22" s="15" t="n">
        <x:v>800</x:v>
      </x:c>
      <x:c r="AA22" s="15" t="n">
        <x:v>1.247</x:v>
      </x:c>
      <x:c r="AB22" s="15" t="n">
        <x:v>21.2</x:v>
      </x:c>
      <x:c r="AC22" s="15"/>
      <x:c r="AD22" s="14" t="n">
        <x:v>8.526339006444502</x:v>
      </x:c>
      <x:c r="AE22" s="14" t="n">
        <x:f>IFERROR((AD22-AVERAGE($AD$5:$AD$65))/STDEV.P($AD$5:$AD$65),0)</x:f>
        <x:v>0.18067155203722124</x:v>
      </x:c>
      <x:c r="AF22" s="14" t="n">
        <x:f>-AH22+0.2*AG22</x:f>
        <x:v>-0.45</x:v>
      </x:c>
      <x:c r="AG22" s="14" t="n">
        <x:f>IFERROR((AI22-AVERAGE($AI$5:$AI$65))/STDEV.P($AI$5:$AI$65),0)</x:f>
        <x:v>0</x:v>
      </x:c>
      <x:c r="AH22" s="14" t="n">
        <x:v>0.45</x:v>
      </x:c>
      <x:c r="AI22" s="14"/>
      <x:c r="AJ22" s="14"/>
      <x:c r="AK22" s="13" t="str">
        <x:v>2026Q1</x:v>
      </x:c>
      <x:c r="AL22" s="13"/>
      <x:c r="AM22" s="13" t="str">
        <x:v>No</x:v>
      </x:c>
      <x:c r="AN22" s="10" t="str">
        <x:v>历史加速 0.8ppt / 无forecast不扣分</x:v>
      </x:c>
      <x:c r="AO22" s="10" t="str">
        <x:v>https://www.sec.gov/Archives/edgar/data/813672/000081367226000047/0000813672-26-000047-index.html</x:v>
      </x:c>
      <x:c r="AP22" s="10" t="str">
        <x:v>Cadence SEC/IR FY2026Q1: revenue $1.474B, gross profit $1.260B (total revenue minus cost of product and maintenance $0.153B and cost of services $0.061B), net income $0.336B</x:v>
      </x:c>
    </x:row>
    <x:row r="23">
      <x:c r="A23" s="13" t="n">
        <x:v>19</x:v>
      </x:c>
      <x:c r="B23" s="13" t="str">
        <x:v>AMD</x:v>
      </x:c>
      <x:c r="C23" s="13" t="str">
        <x:v>AMD</x:v>
      </x:c>
      <x:c r="D23" s="13" t="str">
        <x:v>GPU/CPU</x:v>
      </x:c>
      <x:c r="E23" s="13" t="str">
        <x:v>Watch</x:v>
      </x:c>
      <x:c r="F23" s="13" t="n">
        <x:v>0</x:v>
      </x:c>
      <x:c r="G23" s="14" t="n">
        <x:f>IFERROR((H23-MIN($H$5:$H$65)+0.5)/(SUM($H$5:$H$65)-COUNT($H$5:$H$65)*MIN($H$5:$H$65)+0.5*COUNT($H$5:$H$65))*100,"")</x:f>
        <x:v>1.744432419101564</x:v>
      </x:c>
      <x:c r="H23" s="14" t="n">
        <x:f>$C$2*2*(N23/10)+$E$2*S23+$G$2*Y23+$I$2*AE23+$K$2*AJ23</x:f>
        <x:v>0.4003982740358025</x:v>
      </x:c>
      <x:c r="I23" s="14" t="n">
        <x:f>$C$2*2*(N23/10)</x:f>
        <x:v>0.35200000000000004</x:v>
      </x:c>
      <x:c r="J23" s="14" t="n">
        <x:f>$E$2*S23</x:f>
        <x:v>-0.019261922084081805</x:v>
      </x:c>
      <x:c r="K23" s="14" t="n">
        <x:f>$G$2*Y23</x:f>
        <x:v>-0.02384211781467617</x:v>
      </x:c>
      <x:c r="L23" s="14" t="n">
        <x:f>$I$2*AE23</x:f>
        <x:v>0.09150231393456046</x:v>
      </x:c>
      <x:c r="M23" s="14" t="n">
        <x:f>$K$2*AJ23</x:f>
        <x:v>0</x:v>
      </x:c>
      <x:c r="N23" s="15" t="n">
        <x:v>8</x:v>
      </x:c>
      <x:c r="O23" s="15" t="n">
        <x:v>37.76881720430107</x:v>
      </x:c>
      <x:c r="P23" s="15" t="n">
        <x:v>-3.3370353578265037</x:v>
      </x:c>
      <x:c r="Q23" s="14" t="n">
        <x:f>IFERROR((O23-AVERAGE($O$5:$O$65))/STDEV.P($O$5:$O$65),0)</x:f>
        <x:v>-0.046423607085006584</x:v>
      </x:c>
      <x:c r="R23" s="14" t="n">
        <x:f>IFERROR((P23-AVERAGE($P$5:$P$65))/STDEV.P($P$5:$P$65),0)</x:f>
        <x:v>-0.18895504518615638</x:v>
      </x:c>
      <x:c r="S23" s="14" t="n">
        <x:f>0.65*Q23+0.35*R23</x:f>
        <x:v>-0.09630961042040902</x:v>
      </x:c>
      <x:c r="T23" s="15" t="n">
        <x:v>53</x:v>
      </x:c>
      <x:c r="U23" s="15" t="n">
        <x:v>13.49</x:v>
      </x:c>
      <x:c r="V23" s="15" t="n">
        <x:v>13.49</x:v>
      </x:c>
      <x:c r="W23" s="14" t="n">
        <x:f>IFERROR((T23-AVERAGE($T$5:$T$65))/STDEV.P($T$5:$T$65),0)</x:f>
        <x:v>0.040665260015610105</x:v>
      </x:c>
      <x:c r="X23" s="14" t="n">
        <x:f>IFERROR((V23-AVERAGE($V$5:$V$65))/STDEV.P($V$5:$V$65),0)</x:f>
        <x:v>-0.3590243627068673</x:v>
      </x:c>
      <x:c r="Y23" s="14" t="n">
        <x:f>0.6*W23+0.4*X23</x:f>
        <x:v>-0.11921058907338083</x:v>
      </x:c>
      <x:c r="Z23" s="15" t="n">
        <x:v>7577</x:v>
      </x:c>
      <x:c r="AA23" s="15" t="n">
        <x:v>1.121</x:v>
      </x:c>
      <x:c r="AB23" s="15" t="n">
        <x:v>2.73</x:v>
      </x:c>
      <x:c r="AC23" s="15" t="n">
        <x:v>5.209</x:v>
      </x:c>
      <x:c r="AD23" s="14" t="n">
        <x:v>9.290737255060582</x:v>
      </x:c>
      <x:c r="AE23" s="14" t="n">
        <x:f>IFERROR((AD23-AVERAGE($AD$5:$AD$65))/STDEV.P($AD$5:$AD$65),0)</x:f>
        <x:v>0.5083461885253359</x:v>
      </x:c>
      <x:c r="AF23" s="14" t="n">
        <x:f>-AH23+0.2*AG23</x:f>
        <x:v>-0.35</x:v>
      </x:c>
      <x:c r="AG23" s="14" t="n">
        <x:f>IFERROR((AI23-AVERAGE($AI$5:$AI$65))/STDEV.P($AI$5:$AI$65),0)</x:f>
        <x:v>0</x:v>
      </x:c>
      <x:c r="AH23" s="14" t="n">
        <x:v>0.35</x:v>
      </x:c>
      <x:c r="AI23" s="14"/>
      <x:c r="AJ23" s="14"/>
      <x:c r="AK23" s="13" t="str">
        <x:v>2026Q1</x:v>
      </x:c>
      <x:c r="AL23" s="13" t="n">
        <x:v>112</x:v>
      </x:c>
      <x:c r="AM23" s="13" t="str">
        <x:v>Yes</x:v>
      </x:c>
      <x:c r="AN23" s="10" t="str">
        <x:v>历史加速 -6.4ppt / 前瞻 3.9ppt</x:v>
      </x:c>
      <x:c r="AO23" s="10" t="str">
        <x:v>https://ir.amd.com/news-events/press-releases/detail/1284/amd-reports-first-quarter-2026-financial-results</x:v>
      </x:c>
      <x:c r="AP23" s="10" t="str">
        <x:v>Q1 2026 ended Mar 28 2026: revenue $10.253B, GAAP gross margin 53%, GAAP net income $1.383B</x:v>
      </x:c>
    </x:row>
    <x:row r="24">
      <x:c r="A24" s="13" t="n">
        <x:v>20</x:v>
      </x:c>
      <x:c r="B24" s="13" t="str">
        <x:v>AMZN</x:v>
      </x:c>
      <x:c r="C24" s="13" t="str">
        <x:v>Amazon</x:v>
      </x:c>
      <x:c r="D24" s="13" t="str">
        <x:v>电商/云</x:v>
      </x:c>
      <x:c r="E24" s="13" t="str">
        <x:v>Watch</x:v>
      </x:c>
      <x:c r="F24" s="13" t="n">
        <x:v>0</x:v>
      </x:c>
      <x:c r="G24" s="14" t="n">
        <x:f>IFERROR((H24-MIN($H$5:$H$65)+0.5)/(SUM($H$5:$H$65)-COUNT($H$5:$H$65)*MIN($H$5:$H$65)+0.5*COUNT($H$5:$H$65))*100,"")</x:f>
        <x:v>1.9020040635762039</x:v>
      </x:c>
      <x:c r="H24" s="14" t="n">
        <x:f>$C$2*2*(N24/10)+$E$2*S24+$G$2*Y24+$I$2*AE24+$K$2*AJ24</x:f>
        <x:v>0.505414319855702</x:v>
      </x:c>
      <x:c r="I24" s="14" t="n">
        <x:f>$C$2*2*(N24/10)</x:f>
        <x:v>0.35200000000000004</x:v>
      </x:c>
      <x:c r="J24" s="14" t="n">
        <x:f>$E$2*S24</x:f>
        <x:v>-0.07273790255345484</x:v>
      </x:c>
      <x:c r="K24" s="14" t="n">
        <x:f>$G$2*Y24</x:f>
        <x:v>-0.01843962184976935</x:v>
      </x:c>
      <x:c r="L24" s="14" t="n">
        <x:f>$I$2*AE24</x:f>
        <x:v>0.24459184425892613</x:v>
      </x:c>
      <x:c r="M24" s="14" t="n">
        <x:f>$K$2*AJ24</x:f>
        <x:v>0</x:v>
      </x:c>
      <x:c r="N24" s="15" t="n">
        <x:v>8</x:v>
      </x:c>
      <x:c r="O24" s="15" t="n">
        <x:v>16.605640136185528</x:v>
      </x:c>
      <x:c r="P24" s="15" t="n">
        <x:v>-2.1309546471937577</x:v>
      </x:c>
      <x:c r="Q24" s="14" t="n">
        <x:f>IFERROR((O24-AVERAGE($O$5:$O$65))/STDEV.P($O$5:$O$65),0)</x:f>
        <x:v>-0.4719186763062244</x:v>
      </x:c>
      <x:c r="R24" s="14" t="n">
        <x:f>IFERROR((P24-AVERAGE($P$5:$P$65))/STDEV.P($P$5:$P$65),0)</x:f>
        <x:v>-0.16269249476636677</x:v>
      </x:c>
      <x:c r="S24" s="14" t="n">
        <x:f>0.65*Q24+0.35*R24</x:f>
        <x:v>-0.36368951276727424</x:v>
      </x:c>
      <x:c r="T24" s="15" t="n">
        <x:v>51.82</x:v>
      </x:c>
      <x:c r="U24" s="15" t="n">
        <x:v>16.67</x:v>
      </x:c>
      <x:c r="V24" s="15" t="n">
        <x:v>16.67</x:v>
      </x:c>
      <x:c r="W24" s="14" t="n">
        <x:f>IFERROR((T24-AVERAGE($T$5:$T$65))/STDEV.P($T$5:$T$65),0)</x:f>
        <x:v>-0.013610382779190163</x:v>
      </x:c>
      <x:c r="X24" s="14" t="n">
        <x:f>IFERROR((V24-AVERAGE($V$5:$V$65))/STDEV.P($V$5:$V$65),0)</x:f>
        <x:v>-0.2100796989533316</x:v>
      </x:c>
      <x:c r="Y24" s="14" t="n">
        <x:f>0.6*W24+0.4*X24</x:f>
        <x:v>-0.09219810924884674</x:v>
      </x:c>
      <x:c r="Z24" s="15" t="n">
        <x:v>29300</x:v>
      </x:c>
      <x:c r="AA24" s="15" t="n">
        <x:v>32.217</x:v>
      </x:c>
      <x:c r="AB24" s="15" t="n">
        <x:v>4.44</x:v>
      </x:c>
      <x:c r="AC24" s="15" t="n">
        <x:v>17.974</x:v>
      </x:c>
      <x:c r="AD24" s="14" t="n">
        <x:v>11.274774600350403</x:v>
      </x:c>
      <x:c r="AE24" s="14" t="n">
        <x:f>IFERROR((AD24-AVERAGE($AD$5:$AD$65))/STDEV.P($AD$5:$AD$65),0)</x:f>
        <x:v>1.3588435792162563</x:v>
      </x:c>
      <x:c r="AF24" s="14" t="n">
        <x:f>-AH24+0.2*AG24</x:f>
        <x:v>-0.3058875000000001</x:v>
      </x:c>
      <x:c r="AG24" s="14" t="n">
        <x:f>IFERROR((AI24-AVERAGE($AI$5:$AI$65))/STDEV.P($AI$5:$AI$65),0)</x:f>
        <x:v>0</x:v>
      </x:c>
      <x:c r="AH24" s="14" t="n">
        <x:v>0.3058875000000001</x:v>
      </x:c>
      <x:c r="AI24" s="14"/>
      <x:c r="AJ24" s="14"/>
      <x:c r="AK24" s="13" t="str">
        <x:v>2026Q1</x:v>
      </x:c>
      <x:c r="AL24" s="13" t="n">
        <x:v>1965</x:v>
      </x:c>
      <x:c r="AM24" s="13" t="str">
        <x:v>Yes</x:v>
      </x:c>
      <x:c r="AN24" s="10" t="str">
        <x:v>历史加速 -5.8ppt / 前瞻 6.5ppt</x:v>
      </x:c>
      <x:c r="AO24" s="10" t="str">
        <x:v>https://ir.aboutamazon.com/news-release/news-release-details/2026/Amazon-com-Announces-First-Quarter-Results/default.aspx</x:v>
      </x:c>
      <x:c r="AP24" s="10" t="str">
        <x:v>Q1 2026 ended Mar 31 2026: net sales $181.519B, cost of sales $87.463B, GAAP net income $30.255B; net income includes non-operating income</x:v>
      </x:c>
    </x:row>
    <x:row r="25">
      <x:c r="A25" s="13" t="n">
        <x:v>21</x:v>
      </x:c>
      <x:c r="B25" s="13" t="str">
        <x:v>CSCO</x:v>
      </x:c>
      <x:c r="C25" s="13" t="str">
        <x:v>Cisco Systems</x:v>
      </x:c>
      <x:c r="D25" s="13" t="str">
        <x:v>网络设备</x:v>
      </x:c>
      <x:c r="E25" s="13" t="str">
        <x:v>Watch</x:v>
      </x:c>
      <x:c r="F25" s="13" t="n">
        <x:v>0</x:v>
      </x:c>
      <x:c r="G25" s="14" t="n">
        <x:f>IFERROR((H25-MIN($H$5:$H$65)+0.5)/(SUM($H$5:$H$65)-COUNT($H$5:$H$65)*MIN($H$5:$H$65)+0.5*COUNT($H$5:$H$65))*100,"")</x:f>
        <x:v>1.8336390253092139</x:v>
      </x:c>
      <x:c r="H25" s="14" t="n">
        <x:f>$C$2*2*(N25/10)+$E$2*S25+$G$2*Y25+$I$2*AE25+$K$2*AJ25</x:f>
        <x:v>0.45985138868834396</x:v>
      </x:c>
      <x:c r="I25" s="14" t="n">
        <x:f>$C$2*2*(N25/10)</x:f>
        <x:v>0.264</x:v>
      </x:c>
      <x:c r="J25" s="14" t="n">
        <x:f>$E$2*S25</x:f>
        <x:v>-0.07972020254755707</x:v>
      </x:c>
      <x:c r="K25" s="14" t="n">
        <x:f>$G$2*Y25</x:f>
        <x:v>0.06405764938844015</x:v>
      </x:c>
      <x:c r="L25" s="14" t="n">
        <x:f>$I$2*AE25</x:f>
        <x:v>0.21151394184746083</x:v>
      </x:c>
      <x:c r="M25" s="14" t="n">
        <x:f>$K$2*AJ25</x:f>
        <x:v>0</x:v>
      </x:c>
      <x:c r="N25" s="15" t="n">
        <x:v>6</x:v>
      </x:c>
      <x:c r="O25" s="15" t="n">
        <x:v>11.943462897526501</x:v>
      </x:c>
      <x:c r="P25" s="15" t="n">
        <x:v>1.2826850201266815</x:v>
      </x:c>
      <x:c r="Q25" s="14" t="n">
        <x:f>IFERROR((O25-AVERAGE($O$5:$O$65))/STDEV.P($O$5:$O$65),0)</x:f>
        <x:v>-0.5656538192150603</x:v>
      </x:c>
      <x:c r="R25" s="14" t="n">
        <x:f>IFERROR((P25-AVERAGE($P$5:$P$65))/STDEV.P($P$5:$P$65),0)</x:f>
        <x:v>-0.08836008642284607</x:v>
      </x:c>
      <x:c r="S25" s="14" t="n">
        <x:f>0.65*Q25+0.35*R25</x:f>
        <x:v>-0.3986010127377853</x:v>
      </x:c>
      <x:c r="T25" s="15" t="n">
        <x:v>63.63</x:v>
      </x:c>
      <x:c r="U25" s="15" t="n">
        <x:v>21.29</x:v>
      </x:c>
      <x:c r="V25" s="15" t="n">
        <x:v>21.29</x:v>
      </x:c>
      <x:c r="W25" s="14" t="n">
        <x:f>IFERROR((T25-AVERAGE($T$5:$T$65))/STDEV.P($T$5:$T$65),0)</x:f>
        <x:v>0.529606008243345</x:v>
      </x:c>
      <x:c r="X25" s="14" t="n">
        <x:f>IFERROR((V25-AVERAGE($V$5:$V$65))/STDEV.P($V$5:$V$65),0)</x:f>
        <x:v>0.006311604990484209</x:v>
      </x:c>
      <x:c r="Y25" s="14" t="n">
        <x:f>0.6*W25+0.4*X25</x:f>
        <x:v>0.3202882469422007</x:v>
      </x:c>
      <x:c r="Z25" s="15" t="n">
        <x:v>2800</x:v>
      </x:c>
      <x:c r="AA25" s="15" t="n">
        <x:v>19.037</x:v>
      </x:c>
      <x:c r="AB25" s="15" t="n">
        <x:v>30.05</x:v>
      </x:c>
      <x:c r="AC25" s="15" t="n">
        <x:v>-16.265</x:v>
      </x:c>
      <x:c r="AD25" s="14" t="n">
        <x:v>10.846085626328813</x:v>
      </x:c>
      <x:c r="AE25" s="14" t="n">
        <x:f>IFERROR((AD25-AVERAGE($AD$5:$AD$65))/STDEV.P($AD$5:$AD$65),0)</x:f>
        <x:v>1.1750774547081158</x:v>
      </x:c>
      <x:c r="AF25" s="14" t="n">
        <x:f>-AH25+0.2*AG25</x:f>
        <x:v>-0.4</x:v>
      </x:c>
      <x:c r="AG25" s="14" t="n">
        <x:f>IFERROR((AI25-AVERAGE($AI$5:$AI$65))/STDEV.P($AI$5:$AI$65),0)</x:f>
        <x:v>0</x:v>
      </x:c>
      <x:c r="AH25" s="14" t="n">
        <x:v>0.4</x:v>
      </x:c>
      <x:c r="AI25" s="14"/>
      <x:c r="AJ25" s="14"/>
      <x:c r="AK25" s="13" t="str">
        <x:v>2026Q1</x:v>
      </x:c>
      <x:c r="AL25" s="13" t="n">
        <x:v>168</x:v>
      </x:c>
      <x:c r="AM25" s="13" t="str">
        <x:v>Yes</x:v>
      </x:c>
      <x:c r="AN25" s="10" t="str">
        <x:v>历史加速 0.6ppt / 前瞻 2.9ppt</x:v>
      </x:c>
      <x:c r="AO25" s="10" t="str">
        <x:v>https://www.sec.gov/Archives/edgar/data/858877/000085887726000078/0000858877-26-000078-index.html</x:v>
      </x:c>
      <x:c r="AP25" s="10" t="str">
        <x:v>SEC Companyfacts CY2026Q1: revenue $15.841B, gross profit $10.080B, net income $3.373B</x:v>
      </x:c>
    </x:row>
    <x:row r="26">
      <x:c r="A26" s="13" t="n">
        <x:v>22</x:v>
      </x:c>
      <x:c r="B26" s="13" t="str">
        <x:v>WMB</x:v>
      </x:c>
      <x:c r="C26" s="13" t="str">
        <x:v>Williams Companies</x:v>
      </x:c>
      <x:c r="D26" s="13" t="str">
        <x:v>天然气管道</x:v>
      </x:c>
      <x:c r="E26" s="13" t="str">
        <x:v>Watch</x:v>
      </x:c>
      <x:c r="F26" s="13" t="n">
        <x:v>0</x:v>
      </x:c>
      <x:c r="G26" s="14" t="n">
        <x:f>IFERROR((H26-MIN($H$5:$H$65)+0.5)/(SUM($H$5:$H$65)-COUNT($H$5:$H$65)*MIN($H$5:$H$65)+0.5*COUNT($H$5:$H$65))*100,"")</x:f>
        <x:v>1.7993902747958022</x:v>
      </x:c>
      <x:c r="H26" s="14" t="n">
        <x:f>$C$2*2*(N26/10)+$E$2*S26+$G$2*Y26+$I$2*AE26+$K$2*AJ26</x:f>
        <x:v>0.43702578218291954</x:v>
      </x:c>
      <x:c r="I26" s="14" t="n">
        <x:f>$C$2*2*(N26/10)</x:f>
        <x:v>0.264</x:v>
      </x:c>
      <x:c r="J26" s="14" t="n">
        <x:f>$E$2*S26</x:f>
        <x:v>-0.10843804032866987</x:v>
      </x:c>
      <x:c r="K26" s="14" t="n">
        <x:f>$G$2*Y26</x:f>
        <x:v>0.19614507898025335</x:v>
      </x:c>
      <x:c r="L26" s="14" t="n">
        <x:f>$I$2*AE26</x:f>
        <x:v>0.08531874353133603</x:v>
      </x:c>
      <x:c r="M26" s="14" t="n">
        <x:f>$K$2*AJ26</x:f>
        <x:v>0</x:v>
      </x:c>
      <x:c r="N26" s="15" t="n">
        <x:v>6</x:v>
      </x:c>
      <x:c r="O26" s="15" t="n">
        <x:v>-0.6557377049180357</x:v>
      </x:c>
      <x:c r="P26" s="15" t="n">
        <x:v>4.046514444631137</x:v>
      </x:c>
      <x:c r="Q26" s="14" t="n">
        <x:f>IFERROR((O26-AVERAGE($O$5:$O$65))/STDEV.P($O$5:$O$65),0)</x:f>
        <x:v>-0.8189663400721428</x:v>
      </x:c>
      <x:c r="R26" s="14" t="n">
        <x:f>IFERROR((P26-AVERAGE($P$5:$P$65))/STDEV.P($P$5:$P$65),0)</x:f>
        <x:v>-0.028177373132732983</x:v>
      </x:c>
      <x:c r="S26" s="14" t="n">
        <x:f>0.65*Q26+0.35*R26</x:f>
        <x:v>-0.5421902016433493</x:v>
      </x:c>
      <x:c r="T26" s="15" t="n">
        <x:v>81.58</x:v>
      </x:c>
      <x:c r="U26" s="15" t="n">
        <x:v>30.1</x:v>
      </x:c>
      <x:c r="V26" s="15" t="n">
        <x:v>30.1</x:v>
      </x:c>
      <x:c r="W26" s="14" t="n">
        <x:f>IFERROR((T26-AVERAGE($T$5:$T$65))/STDEV.P($T$5:$T$65),0)</x:f>
        <x:v>1.3552397270286543</x:v>
      </x:c>
      <x:c r="X26" s="14" t="n">
        <x:f>IFERROR((V26-AVERAGE($V$5:$V$65))/STDEV.P($V$5:$V$65),0)</x:f>
        <x:v>0.41895389671018524</x:v>
      </x:c>
      <x:c r="Y26" s="14" t="n">
        <x:f>0.6*W26+0.4*X26</x:f>
        <x:v>0.9807253949012666</x:v>
      </x:c>
      <x:c r="Z26" s="15" t="n">
        <x:v>800</x:v>
      </x:c>
      <x:c r="AA26" s="15" t="n">
        <x:v>3.422</x:v>
      </x:c>
      <x:c r="AB26" s="15" t="n">
        <x:v>28.23</x:v>
      </x:c>
      <x:c r="AC26" s="15"/>
      <x:c r="AD26" s="14" t="n">
        <x:v>9.210598302506272</x:v>
      </x:c>
      <x:c r="AE26" s="14" t="n">
        <x:f>IFERROR((AD26-AVERAGE($AD$5:$AD$65))/STDEV.P($AD$5:$AD$65),0)</x:f>
        <x:v>0.4739930196185336</x:v>
      </x:c>
      <x:c r="AF26" s="14" t="n">
        <x:f>-AH26+0.2*AG26</x:f>
        <x:v>-0.3569250000000001</x:v>
      </x:c>
      <x:c r="AG26" s="14" t="n">
        <x:f>IFERROR((AI26-AVERAGE($AI$5:$AI$65))/STDEV.P($AI$5:$AI$65),0)</x:f>
        <x:v>0</x:v>
      </x:c>
      <x:c r="AH26" s="14" t="n">
        <x:v>0.3569250000000001</x:v>
      </x:c>
      <x:c r="AI26" s="14"/>
      <x:c r="AJ26" s="14"/>
      <x:c r="AK26" s="13" t="str">
        <x:v>2026Q1</x:v>
      </x:c>
      <x:c r="AL26" s="13"/>
      <x:c r="AM26" s="13" t="str">
        <x:v>No</x:v>
      </x:c>
      <x:c r="AN26" s="10" t="str">
        <x:v>历史加速 4.0ppt / 无forecast不扣分</x:v>
      </x:c>
      <x:c r="AO26" s="10" t="str">
        <x:v>https://www.sec.gov/Archives/edgar/data/107263/000010726326000017/0000107263-26-000017-index.html</x:v>
      </x:c>
      <x:c r="AP26" s="10" t="str">
        <x:v>Williams SEC/IR Q1 2026: total revenues $3.030B, gross profit $2.472B (total revenues minus product costs $0.543B and net processing commodity expenses $0.015B), net income $0.912B</x:v>
      </x:c>
    </x:row>
    <x:row r="27">
      <x:c r="A27" s="13" t="n">
        <x:v>23</x:v>
      </x:c>
      <x:c r="B27" s="13" t="str">
        <x:v>CRDO</x:v>
      </x:c>
      <x:c r="C27" s="13" t="str">
        <x:v>Credo Technology</x:v>
      </x:c>
      <x:c r="D27" s="13" t="str">
        <x:v>高速互联</x:v>
      </x:c>
      <x:c r="E27" s="13" t="str">
        <x:v>Watch</x:v>
      </x:c>
      <x:c r="F27" s="13" t="n">
        <x:v>0</x:v>
      </x:c>
      <x:c r="G27" s="14" t="n">
        <x:f>IFERROR((H27-MIN($H$5:$H$65)+0.5)/(SUM($H$5:$H$65)-COUNT($H$5:$H$65)*MIN($H$5:$H$65)+0.5*COUNT($H$5:$H$65))*100,"")</x:f>
        <x:v>2.148817946130651</x:v>
      </x:c>
      <x:c r="H27" s="14" t="n">
        <x:f>$C$2*2*(N27/10)+$E$2*S27+$G$2*Y27+$I$2*AE27+$K$2*AJ27</x:f>
        <x:v>0.6699072277373399</x:v>
      </x:c>
      <x:c r="I27" s="14" t="n">
        <x:f>$C$2*2*(N27/10)</x:f>
        <x:v>0.308</x:v>
      </x:c>
      <x:c r="J27" s="14" t="n">
        <x:f>$E$2*S27</x:f>
        <x:v>0.4635497085782467</x:v>
      </x:c>
      <x:c r="K27" s="14" t="n">
        <x:f>$G$2*Y27</x:f>
        <x:v>0.15451791360205186</x:v>
      </x:c>
      <x:c r="L27" s="14" t="n">
        <x:f>$I$2*AE27</x:f>
        <x:v>-0.2561603944429587</x:v>
      </x:c>
      <x:c r="M27" s="14" t="n">
        <x:f>$K$2*AJ27</x:f>
        <x:v>0</x:v>
      </x:c>
      <x:c r="N27" s="15" t="n">
        <x:v>7</x:v>
      </x:c>
      <x:c r="O27" s="15" t="n">
        <x:v>223.7037037037037</x:v>
      </x:c>
      <x:c r="P27" s="15" t="n">
        <x:v>-5.415301955774523</x:v>
      </x:c>
      <x:c r="Q27" s="14" t="n">
        <x:f>IFERROR((O27-AVERAGE($O$5:$O$65))/STDEV.P($O$5:$O$65),0)</x:f>
        <x:v>3.691879821888158</x:v>
      </x:c>
      <x:c r="R27" s="14" t="n">
        <x:f>IFERROR((P27-AVERAGE($P$5:$P$65))/STDEV.P($P$5:$P$65),0)</x:f>
        <x:v>-0.23420954667448537</x:v>
      </x:c>
      <x:c r="S27" s="14" t="n">
        <x:f>0.65*Q27+0.35*R27</x:f>
        <x:v>2.317748542891233</x:v>
      </x:c>
      <x:c r="T27" s="15" t="n">
        <x:v>68.2</x:v>
      </x:c>
      <x:c r="U27" s="15" t="n">
        <x:v>38.7</x:v>
      </x:c>
      <x:c r="V27" s="15" t="n">
        <x:v>38.7</x:v>
      </x:c>
      <x:c r="W27" s="14" t="n">
        <x:f>IFERROR((T27-AVERAGE($T$5:$T$65))/STDEV.P($T$5:$T$65),0)</x:f>
        <x:v>0.739809133304563</x:v>
      </x:c>
      <x:c r="X27" s="14" t="n">
        <x:f>IFERROR((V27-AVERAGE($V$5:$V$65))/STDEV.P($V$5:$V$65),0)</x:f>
        <x:v>0.8217602200688037</x:v>
      </x:c>
      <x:c r="Y27" s="14" t="n">
        <x:f>0.6*W27+0.4*X27</x:f>
        <x:v>0.7725895680102592</x:v>
      </x:c>
      <x:c r="Z27" s="15" t="n">
        <x:v>150</x:v>
      </x:c>
      <x:c r="AA27" s="15" t="n">
        <x:v>-0.046</x:v>
      </x:c>
      <x:c r="AB27" s="15" t="n">
        <x:v>-2.82</x:v>
      </x:c>
      <x:c r="AC27" s="15"/>
      <x:c r="AD27" s="14" t="n">
        <x:v>4.7850352940962555</x:v>
      </x:c>
      <x:c r="AE27" s="14" t="n">
        <x:f>IFERROR((AD27-AVERAGE($AD$5:$AD$65))/STDEV.P($AD$5:$AD$65),0)</x:f>
        <x:v>-1.4231133024608817</x:v>
      </x:c>
      <x:c r="AF27" s="14" t="n">
        <x:f>-AH27+0.2*AG27</x:f>
        <x:v>-1.208641975308642</x:v>
      </x:c>
      <x:c r="AG27" s="14" t="n">
        <x:f>IFERROR((AI27-AVERAGE($AI$5:$AI$65))/STDEV.P($AI$5:$AI$65),0)</x:f>
        <x:v>0</x:v>
      </x:c>
      <x:c r="AH27" s="14" t="n">
        <x:v>1.208641975308642</x:v>
      </x:c>
      <x:c r="AI27" s="14"/>
      <x:c r="AJ27" s="14"/>
      <x:c r="AK27" s="13" t="str">
        <x:v>2026Q2</x:v>
      </x:c>
      <x:c r="AL27" s="13" t="n">
        <x:v>4.7</x:v>
      </x:c>
      <x:c r="AM27" s="13" t="str">
        <x:v>Yes</x:v>
      </x:c>
      <x:c r="AN27" s="10" t="str">
        <x:v>历史加速 1.5ppt / 前瞻 -21.7ppt</x:v>
      </x:c>
      <x:c r="AO27" s="10" t="str">
        <x:v>https://www.sec.gov/Archives/edgar/data/1807794/000162828026039474/credoq42026ex-991.htm</x:v>
      </x:c>
      <x:c r="AP27" s="10" t="str">
        <x:v>FY26 Q4 (Feb-May 2026, ending May 2): 营收$4.37亿同比+157%/环比+7%, GAAP GM 68.2%, GAAP NM 38.7%; Non-GAAP EPS $1.16; 超指引(GM 63.9-65.9%)</x:v>
      </x:c>
    </x:row>
    <x:row r="28">
      <x:c r="A28" s="13" t="n">
        <x:v>24</x:v>
      </x:c>
      <x:c r="B28" s="13" t="str">
        <x:v>AMAT</x:v>
      </x:c>
      <x:c r="C28" s="13" t="str">
        <x:v>Applied Materials</x:v>
      </x:c>
      <x:c r="D28" s="13" t="str">
        <x:v>半导体设备</x:v>
      </x:c>
      <x:c r="E28" s="13" t="str">
        <x:v>Watch</x:v>
      </x:c>
      <x:c r="F28" s="13" t="n">
        <x:v>0</x:v>
      </x:c>
      <x:c r="G28" s="14" t="n">
        <x:f>IFERROR((H28-MIN($H$5:$H$65)+0.5)/(SUM($H$5:$H$65)-COUNT($H$5:$H$65)*MIN($H$5:$H$65)+0.5*COUNT($H$5:$H$65))*100,"")</x:f>
        <x:v>1.8894138457055398</x:v>
      </x:c>
      <x:c r="H28" s="14" t="n">
        <x:f>$C$2*2*(N28/10)+$E$2*S28+$G$2*Y28+$I$2*AE28+$K$2*AJ28</x:f>
        <x:v>0.49702337552560716</x:v>
      </x:c>
      <x:c r="I28" s="14" t="n">
        <x:f>$C$2*2*(N28/10)</x:f>
        <x:v>0.35200000000000004</x:v>
      </x:c>
      <x:c r="J28" s="14" t="n">
        <x:f>$E$2*S28</x:f>
        <x:v>-0.0799080840536695</x:v>
      </x:c>
      <x:c r="K28" s="14" t="n">
        <x:f>$G$2*Y28</x:f>
        <x:v>0.041407097556190244</x:v>
      </x:c>
      <x:c r="L28" s="14" t="n">
        <x:f>$I$2*AE28</x:f>
        <x:v>0.18352436202308633</x:v>
      </x:c>
      <x:c r="M28" s="14" t="n">
        <x:f>$K$2*AJ28</x:f>
        <x:v>0</x:v>
      </x:c>
      <x:c r="N28" s="15" t="n">
        <x:v>8</x:v>
      </x:c>
      <x:c r="O28" s="15" t="n">
        <x:v>11.408450704225338</x:v>
      </x:c>
      <x:c r="P28" s="15" t="n">
        <x:v>2.076831254688862</x:v>
      </x:c>
      <x:c r="Q28" s="14" t="n">
        <x:f>IFERROR((O28-AVERAGE($O$5:$O$65))/STDEV.P($O$5:$O$65),0)</x:f>
        <x:v>-0.5764104768515852</x:v>
      </x:c>
      <x:c r="R28" s="14" t="n">
        <x:f>IFERROR((P28-AVERAGE($P$5:$P$65))/STDEV.P($P$5:$P$65),0)</x:f>
        <x:v>-0.07106745804233454</x:v>
      </x:c>
      <x:c r="S28" s="14" t="n">
        <x:f>0.65*Q28+0.35*R28</x:f>
        <x:v>-0.3995404202683475</x:v>
      </x:c>
      <x:c r="T28" s="15" t="n">
        <x:v>49.9</x:v>
      </x:c>
      <x:c r="U28" s="15" t="n">
        <x:v>35.47</x:v>
      </x:c>
      <x:c r="V28" s="15" t="n">
        <x:v>35.47</x:v>
      </x:c>
      <x:c r="W28" s="14" t="n">
        <x:f>IFERROR((T28-AVERAGE($T$5:$T$65))/STDEV.P($T$5:$T$65),0)</x:f>
        <x:v>-0.10192329308937376</x:v>
      </x:c>
      <x:c r="X28" s="14" t="n">
        <x:f>IFERROR((V28-AVERAGE($V$5:$V$65))/STDEV.P($V$5:$V$65),0)</x:f>
        <x:v>0.6704736590864386</x:v>
      </x:c>
      <x:c r="Y28" s="14" t="n">
        <x:f>0.6*W28+0.4*X28</x:f>
        <x:v>0.2070354877809512</x:v>
      </x:c>
      <x:c r="Z28" s="15" t="n">
        <x:v>3550</x:v>
      </x:c>
      <x:c r="AA28" s="15" t="n">
        <x:v>7.594</x:v>
      </x:c>
      <x:c r="AB28" s="15" t="n">
        <x:v>24</x:v>
      </x:c>
      <x:c r="AC28" s="15" t="n">
        <x:v>0.856</x:v>
      </x:c>
      <x:c r="AD28" s="14" t="n">
        <x:v>10.483341214396347</x:v>
      </x:c>
      <x:c r="AE28" s="14" t="n">
        <x:f>IFERROR((AD28-AVERAGE($AD$5:$AD$65))/STDEV.P($AD$5:$AD$65),0)</x:f>
        <x:v>1.0195797890171463</x:v>
      </x:c>
      <x:c r="AF28" s="14" t="n">
        <x:f>-AH28+0.2*AG28</x:f>
        <x:v>-0.6890375</x:v>
      </x:c>
      <x:c r="AG28" s="14" t="n">
        <x:f>IFERROR((AI28-AVERAGE($AI$5:$AI$65))/STDEV.P($AI$5:$AI$65),0)</x:f>
        <x:v>0</x:v>
      </x:c>
      <x:c r="AH28" s="14" t="n">
        <x:v>0.6890375</x:v>
      </x:c>
      <x:c r="AI28" s="14"/>
      <x:c r="AJ28" s="14"/>
      <x:c r="AK28" s="13" t="str">
        <x:v>2026Q1</x:v>
      </x:c>
      <x:c r="AL28" s="13" t="n">
        <x:v>82.5</x:v>
      </x:c>
      <x:c r="AM28" s="13" t="str">
        <x:v>Yes</x:v>
      </x:c>
      <x:c r="AN28" s="10" t="str">
        <x:v>历史加速 3.0ppt / 前瞻 -0.1ppt</x:v>
      </x:c>
      <x:c r="AO28" s="10" t="str">
        <x:v>https://www.sec.gov/Archives/edgar/data/6951/000162828026037227/0001628280-26-037227-index.html</x:v>
      </x:c>
      <x:c r="AP28" s="10" t="str">
        <x:v>SEC Companyfacts CY2026Q1: revenue $7.910B, gross profit $3.947B, net income $2.806B</x:v>
      </x:c>
    </x:row>
    <x:row r="29">
      <x:c r="A29" s="13" t="n">
        <x:v>25</x:v>
      </x:c>
      <x:c r="B29" s="13" t="str">
        <x:v>ALAB</x:v>
      </x:c>
      <x:c r="C29" s="13" t="str">
        <x:v>Astera Labs</x:v>
      </x:c>
      <x:c r="D29" s="13" t="str">
        <x:v>PCIe/CXL</x:v>
      </x:c>
      <x:c r="E29" s="13" t="str">
        <x:v>Watch</x:v>
      </x:c>
      <x:c r="F29" s="13" t="n">
        <x:v>0</x:v>
      </x:c>
      <x:c r="G29" s="14" t="n">
        <x:f>IFERROR((H29-MIN($H$5:$H$65)+0.5)/(SUM($H$5:$H$65)-COUNT($H$5:$H$65)*MIN($H$5:$H$65)+0.5*COUNT($H$5:$H$65))*100,"")</x:f>
        <x:v>1.7807713407134453</x:v>
      </x:c>
      <x:c r="H29" s="14" t="n">
        <x:f>$C$2*2*(N29/10)+$E$2*S29+$G$2*Y29+$I$2*AE29+$K$2*AJ29</x:f>
        <x:v>0.42461690721541123</x:v>
      </x:c>
      <x:c r="I29" s="14" t="n">
        <x:f>$C$2*2*(N29/10)</x:f>
        <x:v>0.35200000000000004</x:v>
      </x:c>
      <x:c r="J29" s="14" t="n">
        <x:f>$E$2*S29</x:f>
        <x:v>0.12810224088678562</x:v>
      </x:c>
      <x:c r="K29" s="14" t="n">
        <x:f>$G$2*Y29</x:f>
        <x:v>0.15156807190364296</x:v>
      </x:c>
      <x:c r="L29" s="14" t="n">
        <x:f>$I$2*AE29</x:f>
        <x:v>-0.20705340557501742</x:v>
      </x:c>
      <x:c r="M29" s="14" t="n">
        <x:f>$K$2*AJ29</x:f>
        <x:v>0</x:v>
      </x:c>
      <x:c r="N29" s="15" t="n">
        <x:v>8</x:v>
      </x:c>
      <x:c r="O29" s="15" t="n">
        <x:v>93.75</x:v>
      </x:c>
      <x:c r="P29" s="15" t="n">
        <x:v>-2.6509875426840304</x:v>
      </x:c>
      <x:c r="Q29" s="14" t="n">
        <x:f>IFERROR((O29-AVERAGE($O$5:$O$65))/STDEV.P($O$5:$O$65),0)</x:f>
        <x:v>1.0791029228908902</x:v>
      </x:c>
      <x:c r="R29" s="14" t="n">
        <x:f>IFERROR((P29-AVERAGE($P$5:$P$65))/STDEV.P($P$5:$P$65),0)</x:f>
        <x:v>-0.17401627270043007</x:v>
      </x:c>
      <x:c r="S29" s="14" t="n">
        <x:f>0.65*Q29+0.35*R29</x:f>
        <x:v>0.6405112044339281</x:v>
      </x:c>
      <x:c r="T29" s="15" t="n">
        <x:v>76.26</x:v>
      </x:c>
      <x:c r="U29" s="15" t="n">
        <x:v>26.04</x:v>
      </x:c>
      <x:c r="V29" s="15" t="n">
        <x:v>26.04</x:v>
      </x:c>
      <x:c r="W29" s="14" t="n">
        <x:f>IFERROR((T29-AVERAGE($T$5:$T$65))/STDEV.P($T$5:$T$65),0)</x:f>
        <x:v>1.110539371377521</x:v>
      </x:c>
      <x:c r="X29" s="14" t="n">
        <x:f>IFERROR((V29-AVERAGE($V$5:$V$65))/STDEV.P($V$5:$V$65),0)</x:f>
        <x:v>0.22879184172925598</x:v>
      </x:c>
      <x:c r="Y29" s="14" t="n">
        <x:f>0.6*W29+0.4*X29</x:f>
        <x:v>0.7578403595182148</x:v>
      </x:c>
      <x:c r="Z29" s="15" t="n">
        <x:v>250</x:v>
      </x:c>
      <x:c r="AA29" s="15" t="n">
        <x:v>-0.015</x:v>
      </x:c>
      <x:c r="AB29" s="15" t="n">
        <x:v>-1.25</x:v>
      </x:c>
      <x:c r="AC29" s="15"/>
      <x:c r="AD29" s="14" t="n">
        <x:v>5.421460917862246</x:v>
      </x:c>
      <x:c r="AE29" s="14" t="n">
        <x:f>IFERROR((AD29-AVERAGE($AD$5:$AD$65))/STDEV.P($AD$5:$AD$65),0)</x:f>
        <x:v>-1.1502966976389857</x:v>
      </x:c>
      <x:c r="AF29" s="14" t="n">
        <x:f>-AH29+0.2*AG29</x:f>
        <x:v>-0.6845250000000003</x:v>
      </x:c>
      <x:c r="AG29" s="14" t="n">
        <x:f>IFERROR((AI29-AVERAGE($AI$5:$AI$65))/STDEV.P($AI$5:$AI$65),0)</x:f>
        <x:v>0</x:v>
      </x:c>
      <x:c r="AH29" s="14" t="n">
        <x:v>0.6845250000000003</x:v>
      </x:c>
      <x:c r="AI29" s="14"/>
      <x:c r="AJ29" s="14"/>
      <x:c r="AK29" s="13" t="str">
        <x:v>2026Q1</x:v>
      </x:c>
      <x:c r="AL29" s="13" t="n">
        <x:v>3.6</x:v>
      </x:c>
      <x:c r="AM29" s="13" t="str">
        <x:v>Yes</x:v>
      </x:c>
      <x:c r="AN29" s="10" t="str">
        <x:v>历史加速 -3.8ppt / 前瞻 0.0ppt</x:v>
      </x:c>
      <x:c r="AO29" s="10" t="str">
        <x:v>https://www.sec.gov/Archives/edgar/data/1736297/000173629726000020/0001736297-26-000020-index.html</x:v>
      </x:c>
      <x:c r="AP29" s="10" t="str">
        <x:v>SEC Companyfacts CY2026Q1: revenue $0.308B, gross profit $0.235B, net income $0.080B</x:v>
      </x:c>
    </x:row>
    <x:row r="30">
      <x:c r="A30" s="13" t="n">
        <x:v>26</x:v>
      </x:c>
      <x:c r="B30" s="13" t="str">
        <x:v>LRCX</x:v>
      </x:c>
      <x:c r="C30" s="13" t="str">
        <x:v>Lam Research</x:v>
      </x:c>
      <x:c r="D30" s="13" t="str">
        <x:v>刻蚀设备</x:v>
      </x:c>
      <x:c r="E30" s="13" t="str">
        <x:v>Watch</x:v>
      </x:c>
      <x:c r="F30" s="13" t="n">
        <x:v>0</x:v>
      </x:c>
      <x:c r="G30" s="14" t="n">
        <x:f>IFERROR((H30-MIN($H$5:$H$65)+0.5)/(SUM($H$5:$H$65)-COUNT($H$5:$H$65)*MIN($H$5:$H$65)+0.5*COUNT($H$5:$H$65))*100,"")</x:f>
        <x:v>1.731091571183005</x:v>
      </x:c>
      <x:c r="H30" s="14" t="n">
        <x:f>$C$2*2*(N30/10)+$E$2*S30+$G$2*Y30+$I$2*AE30+$K$2*AJ30</x:f>
        <x:v>0.39150706076603675</x:v>
      </x:c>
      <x:c r="I30" s="14" t="n">
        <x:f>$C$2*2*(N30/10)</x:f>
        <x:v>0.35200000000000004</x:v>
      </x:c>
      <x:c r="J30" s="14" t="n">
        <x:f>$E$2*S30</x:f>
        <x:v>-0.048586078132380056</x:v>
      </x:c>
      <x:c r="K30" s="14" t="n">
        <x:f>$G$2*Y30</x:f>
        <x:v>0.025208238484528595</x:v>
      </x:c>
      <x:c r="L30" s="14" t="n">
        <x:f>$I$2*AE30</x:f>
        <x:v>0.06288490041388821</x:v>
      </x:c>
      <x:c r="M30" s="14" t="n">
        <x:f>$K$2*AJ30</x:f>
        <x:v>0</x:v>
      </x:c>
      <x:c r="N30" s="15" t="n">
        <x:v>8</x:v>
      </x:c>
      <x:c r="O30" s="15" t="n">
        <x:v>23.728813559322013</x:v>
      </x:c>
      <x:c r="P30" s="15" t="n">
        <x:v>1.49961844040189</x:v>
      </x:c>
      <x:c r="Q30" s="14" t="n">
        <x:f>IFERROR((O30-AVERAGE($O$5:$O$65))/STDEV.P($O$5:$O$65),0)</x:f>
        <x:v>-0.3287041126801176</x:v>
      </x:c>
      <x:c r="R30" s="14" t="n">
        <x:f>IFERROR((P30-AVERAGE($P$5:$P$65))/STDEV.P($P$5:$P$65),0)</x:f>
        <x:v>-0.08363633548521095</x:v>
      </x:c>
      <x:c r="S30" s="14" t="n">
        <x:f>0.65*Q30+0.35*R30</x:f>
        <x:v>-0.24293039066190028</x:v>
      </x:c>
      <x:c r="T30" s="15" t="n">
        <x:v>49.83</x:v>
      </x:c>
      <x:c r="U30" s="15" t="n">
        <x:v>31.25</x:v>
      </x:c>
      <x:c r="V30" s="15" t="n">
        <x:v>31.25</x:v>
      </x:c>
      <x:c r="W30" s="14" t="n">
        <x:f>IFERROR((T30-AVERAGE($T$5:$T$65))/STDEV.P($T$5:$T$65),0)</x:f>
        <x:v>-0.10514303461109921</x:v>
      </x:c>
      <x:c r="X30" s="14" t="n">
        <x:f>IFERROR((V30-AVERAGE($V$5:$V$65))/STDEV.P($V$5:$V$65),0)</x:f>
        <x:v>0.47281753297325624</x:v>
      </x:c>
      <x:c r="Y30" s="14" t="n">
        <x:f>0.6*W30+0.4*X30</x:f>
        <x:v>0.12604119242264297</x:v>
      </x:c>
      <x:c r="Z30" s="15" t="n">
        <x:v>1100</x:v>
      </x:c>
      <x:c r="AA30" s="15" t="n">
        <x:v>4.677</x:v>
      </x:c>
      <x:c r="AB30" s="15" t="n">
        <x:v>20.02</x:v>
      </x:c>
      <x:c r="AC30" s="15" t="n">
        <x:v>0.483</x:v>
      </x:c>
      <x:c r="AD30" s="14" t="n">
        <x:v>8.919856130594955</x:v>
      </x:c>
      <x:c r="AE30" s="14" t="n">
        <x:f>IFERROR((AD30-AVERAGE($AD$5:$AD$65))/STDEV.P($AD$5:$AD$65),0)</x:f>
        <x:v>0.34936055785493453</x:v>
      </x:c>
      <x:c r="AF30" s="14" t="n">
        <x:f>-AH30+0.2*AG30</x:f>
        <x:v>-0.5810624999999999</x:v>
      </x:c>
      <x:c r="AG30" s="14" t="n">
        <x:f>IFERROR((AI30-AVERAGE($AI$5:$AI$65))/STDEV.P($AI$5:$AI$65),0)</x:f>
        <x:v>0</x:v>
      </x:c>
      <x:c r="AH30" s="14" t="n">
        <x:v>0.5810624999999999</x:v>
      </x:c>
      <x:c r="AI30" s="14"/>
      <x:c r="AJ30" s="14"/>
      <x:c r="AK30" s="13" t="str">
        <x:v>2026Q1</x:v>
      </x:c>
      <x:c r="AL30" s="13" t="n">
        <x:v>66</x:v>
      </x:c>
      <x:c r="AM30" s="13" t="str">
        <x:v>Yes</x:v>
      </x:c>
      <x:c r="AN30" s="10" t="str">
        <x:v>历史加速 -1.3ppt / 前瞻 8.1ppt</x:v>
      </x:c>
      <x:c r="AO30" s="10" t="str">
        <x:v>https://www.sec.gov/Archives/edgar/data/707549/000070754926000022/0000707549-26-000022-index.html</x:v>
      </x:c>
      <x:c r="AP30" s="10" t="str">
        <x:v>SEC Companyfacts CY2026Q1: revenue $5.841B, gross profit $2.911B, net income $1.825B</x:v>
      </x:c>
    </x:row>
    <x:row r="31">
      <x:c r="A31" s="13" t="n">
        <x:v>27</x:v>
      </x:c>
      <x:c r="B31" s="13" t="str">
        <x:v>KMI</x:v>
      </x:c>
      <x:c r="C31" s="13" t="str">
        <x:v>Kinder Morgan</x:v>
      </x:c>
      <x:c r="D31" s="13" t="str">
        <x:v>天然气管道</x:v>
      </x:c>
      <x:c r="E31" s="13" t="str">
        <x:v>Watch</x:v>
      </x:c>
      <x:c r="F31" s="13" t="n">
        <x:v>0</x:v>
      </x:c>
      <x:c r="G31" s="14" t="n">
        <x:f>IFERROR((H31-MIN($H$5:$H$65)+0.5)/(SUM($H$5:$H$65)-COUNT($H$5:$H$65)*MIN($H$5:$H$65)+0.5*COUNT($H$5:$H$65))*100,"")</x:f>
        <x:v>1.588510893620855</x:v>
      </x:c>
      <x:c r="H31" s="14" t="n">
        <x:f>$C$2*2*(N31/10)+$E$2*S31+$G$2*Y31+$I$2*AE31+$K$2*AJ31</x:f>
        <x:v>0.2964819753972734</x:v>
      </x:c>
      <x:c r="I31" s="14" t="n">
        <x:f>$C$2*2*(N31/10)</x:f>
        <x:v>0.264</x:v>
      </x:c>
      <x:c r="J31" s="14" t="n">
        <x:f>$E$2*S31</x:f>
        <x:v>-0.06298342380082049</x:v>
      </x:c>
      <x:c r="K31" s="14" t="n">
        <x:f>$G$2*Y31</x:f>
        <x:v>0.0627320474366233</x:v>
      </x:c>
      <x:c r="L31" s="14" t="n">
        <x:f>$I$2*AE31</x:f>
        <x:v>0.032733351761470554</x:v>
      </x:c>
      <x:c r="M31" s="14" t="n">
        <x:f>$K$2*AJ31</x:f>
        <x:v>0</x:v>
      </x:c>
      <x:c r="N31" s="15" t="n">
        <x:v>6</x:v>
      </x:c>
      <x:c r="O31" s="15" t="n">
        <x:v>13.915094339622636</x:v>
      </x:c>
      <x:c r="P31" s="15" t="n">
        <x:v>8.882125665368996</x:v>
      </x:c>
      <x:c r="Q31" s="14" t="n">
        <x:f>IFERROR((O31-AVERAGE($O$5:$O$65))/STDEV.P($O$5:$O$65),0)</x:f>
        <x:v>-0.5260132938708132</x:v>
      </x:c>
      <x:c r="R31" s="14" t="n">
        <x:f>IFERROR((P31-AVERAGE($P$5:$P$65))/STDEV.P($P$5:$P$65),0)</x:f>
        <x:v>0.07711863431978883</x:v>
      </x:c>
      <x:c r="S31" s="14" t="n">
        <x:f>0.65*Q31+0.35*R31</x:f>
        <x:v>-0.31491711900410246</x:v>
      </x:c>
      <x:c r="T31" s="15" t="n">
        <x:v>63.77</x:v>
      </x:c>
      <x:c r="U31" s="15" t="n">
        <x:v>20.73</x:v>
      </x:c>
      <x:c r="V31" s="15" t="n">
        <x:v>20.73</x:v>
      </x:c>
      <x:c r="W31" s="14" t="n">
        <x:f>IFERROR((T31-AVERAGE($T$5:$T$65))/STDEV.P($T$5:$T$65),0)</x:f>
        <x:v>0.5360454912867959</x:v>
      </x:c>
      <x:c r="X31" s="14" t="n">
        <x:f>IFERROR((V31-AVERAGE($V$5:$V$65))/STDEV.P($V$5:$V$65),0)</x:f>
        <x:v>-0.019917643972402508</x:v>
      </x:c>
      <x:c r="Y31" s="14" t="n">
        <x:f>0.6*W31+0.4*X31</x:f>
        <x:v>0.31366023718311653</x:v>
      </x:c>
      <x:c r="Z31" s="15" t="n">
        <x:v>850</x:v>
      </x:c>
      <x:c r="AA31" s="15" t="n">
        <x:v>4.174</x:v>
      </x:c>
      <x:c r="AB31" s="15" t="n">
        <x:v>21.6</x:v>
      </x:c>
      <x:c r="AC31" s="15" t="n">
        <x:v>-36.853</x:v>
      </x:c>
      <x:c r="AD31" s="14" t="n">
        <x:v>8.529092644561851</x:v>
      </x:c>
      <x:c r="AE31" s="14" t="n">
        <x:f>IFERROR((AD31-AVERAGE($AD$5:$AD$65))/STDEV.P($AD$5:$AD$65),0)</x:f>
        <x:v>0.18185195423039197</x:v>
      </x:c>
      <x:c r="AF31" s="14" t="n">
        <x:f>-AH31+0.2*AG31</x:f>
        <x:v>-0.25</x:v>
      </x:c>
      <x:c r="AG31" s="14" t="n">
        <x:f>IFERROR((AI31-AVERAGE($AI$5:$AI$65))/STDEV.P($AI$5:$AI$65),0)</x:f>
        <x:v>0</x:v>
      </x:c>
      <x:c r="AH31" s="14" t="n">
        <x:v>0.25</x:v>
      </x:c>
      <x:c r="AI31" s="14"/>
      <x:c r="AJ31" s="14"/>
      <x:c r="AK31" s="13" t="str">
        <x:v>2026Q1</x:v>
      </x:c>
      <x:c r="AL31" s="13"/>
      <x:c r="AM31" s="13" t="str">
        <x:v>No</x:v>
      </x:c>
      <x:c r="AN31" s="10" t="str">
        <x:v>历史加速 8.9ppt / 无forecast不扣分</x:v>
      </x:c>
      <x:c r="AO31" s="10" t="str">
        <x:v>https://www.sec.gov/Archives/edgar/data/1506307/000150630726000035/0001506307-26-000035-index.html</x:v>
      </x:c>
      <x:c r="AP31" s="10" t="str">
        <x:v>SEC Companyfacts CY2026Q1: revenue $4.828B, gross profit $3.079B (revenue minus CostOfGoodsAndServiceExcludingDepreciationDepletionAndAmortization $1.749B), net income $1.001B</x:v>
      </x:c>
    </x:row>
    <x:row r="32">
      <x:c r="A32" s="13" t="n">
        <x:v>28</x:v>
      </x:c>
      <x:c r="B32" s="13" t="str">
        <x:v>SNPS</x:v>
      </x:c>
      <x:c r="C32" s="13" t="str">
        <x:v>Synopsys</x:v>
      </x:c>
      <x:c r="D32" s="13" t="str">
        <x:v>EDA 软件</x:v>
      </x:c>
      <x:c r="E32" s="13" t="str">
        <x:v>Watch</x:v>
      </x:c>
      <x:c r="F32" s="13" t="n">
        <x:v>0</x:v>
      </x:c>
      <x:c r="G32" s="14" t="n">
        <x:f>IFERROR((H32-MIN($H$5:$H$65)+0.5)/(SUM($H$5:$H$65)-COUNT($H$5:$H$65)*MIN($H$5:$H$65)+0.5*COUNT($H$5:$H$65))*100,"")</x:f>
        <x:v>1.6631714694805517</x:v>
      </x:c>
      <x:c r="H32" s="14" t="n">
        <x:f>$C$2*2*(N32/10)+$E$2*S32+$G$2*Y32+$I$2*AE32+$K$2*AJ32</x:f>
        <x:v>0.34624066441497875</x:v>
      </x:c>
      <x:c r="I32" s="14" t="n">
        <x:f>$C$2*2*(N32/10)</x:f>
        <x:v>0.308</x:v>
      </x:c>
      <x:c r="J32" s="14" t="n">
        <x:f>$E$2*S32</x:f>
        <x:v>0.006725267196827159</x:v>
      </x:c>
      <x:c r="K32" s="14" t="n">
        <x:f>$G$2*Y32</x:f>
        <x:v>0.03511368384136032</x:v>
      </x:c>
      <x:c r="L32" s="14" t="n">
        <x:f>$I$2*AE32</x:f>
        <x:v>-0.0035982866232087164</x:v>
      </x:c>
      <x:c r="M32" s="14" t="n">
        <x:f>$K$2*AJ32</x:f>
        <x:v>0</x:v>
      </x:c>
      <x:c r="N32" s="15" t="n">
        <x:v>7</x:v>
      </x:c>
      <x:c r="O32" s="15" t="n">
        <x:v>42.50000000000001</x:v>
      </x:c>
      <x:c r="P32" s="15" t="n">
        <x:v>5.599284935224026</x:v>
      </x:c>
      <x:c r="Q32" s="14" t="n">
        <x:f>IFERROR((O32-AVERAGE($O$5:$O$65))/STDEV.P($O$5:$O$65),0)</x:f>
        <x:v>0.048698923179463165</x:v>
      </x:c>
      <x:c r="R32" s="14" t="n">
        <x:f>IFERROR((P32-AVERAGE($P$5:$P$65))/STDEV.P($P$5:$P$65),0)</x:f>
        <x:v>0.005634388335670689</x:v>
      </x:c>
      <x:c r="S32" s="14" t="n">
        <x:f>0.65*Q32+0.35*R32</x:f>
        <x:v>0.033626335984135794</x:v>
      </x:c>
      <x:c r="T32" s="15" t="n">
        <x:v>72.33</x:v>
      </x:c>
      <x:c r="U32" s="15" t="n">
        <x:v>0.75</x:v>
      </x:c>
      <x:c r="V32" s="15" t="n">
        <x:v>0.75</x:v>
      </x:c>
      <x:c r="W32" s="14" t="n">
        <x:f>IFERROR((T32-AVERAGE($T$5:$T$65))/STDEV.P($T$5:$T$65),0)</x:f>
        <x:v>0.9297738830863638</x:v>
      </x:c>
      <x:c r="X32" s="14" t="n">
        <x:f>IFERROR((V32-AVERAGE($V$5:$V$65))/STDEV.P($V$5:$V$65),0)</x:f>
        <x:v>-0.9557397766125415</x:v>
      </x:c>
      <x:c r="Y32" s="14" t="n">
        <x:f>0.6*W32+0.4*X32</x:f>
        <x:v>0.1755684192068016</x:v>
      </x:c>
      <x:c r="Z32" s="15" t="n">
        <x:v>751</x:v>
      </x:c>
      <x:c r="AA32" s="15" t="n">
        <x:v>1.514</x:v>
      </x:c>
      <x:c r="AB32" s="15" t="n">
        <x:v>16.6</x:v>
      </x:c>
      <x:c r="AC32" s="15" t="n">
        <x:v>-7.148</x:v>
      </x:c>
      <x:c r="AD32" s="14" t="n">
        <x:v>8.05823531540264</x:v>
      </x:c>
      <x:c r="AE32" s="14" t="n">
        <x:f>IFERROR((AD32-AVERAGE($AD$5:$AD$65))/STDEV.P($AD$5:$AD$65),0)</x:f>
        <x:v>-0.019990481240048426</x:v>
      </x:c>
      <x:c r="AF32" s="14" t="n">
        <x:f>-AH32+0.2*AG32</x:f>
        <x:v>-0.45</x:v>
      </x:c>
      <x:c r="AG32" s="14" t="n">
        <x:f>IFERROR((AI32-AVERAGE($AI$5:$AI$65))/STDEV.P($AI$5:$AI$65),0)</x:f>
        <x:v>0</x:v>
      </x:c>
      <x:c r="AH32" s="14" t="n">
        <x:v>0.45</x:v>
      </x:c>
      <x:c r="AI32" s="14"/>
      <x:c r="AJ32" s="14"/>
      <x:c r="AK32" s="13" t="str">
        <x:v>2026Q1</x:v>
      </x:c>
      <x:c r="AL32" s="13" t="n">
        <x:v>24.35</x:v>
      </x:c>
      <x:c r="AM32" s="13" t="str">
        <x:v>Yes</x:v>
      </x:c>
      <x:c r="AN32" s="10" t="str">
        <x:v>历史加速 12.2ppt / 前瞻 -9.8ppt</x:v>
      </x:c>
      <x:c r="AO32" s="10" t="str">
        <x:v>https://www.sec.gov/Archives/edgar/data/883241/000088324126000018/0000883241-26-000018-index.html</x:v>
      </x:c>
      <x:c r="AP32" s="10" t="str">
        <x:v>SEC Companyfacts CY2026Q1: revenue $2.276B, gross profit $1.646B, net income $0.017B</x:v>
      </x:c>
    </x:row>
    <x:row r="33">
      <x:c r="A33" s="13" t="n">
        <x:v>29</x:v>
      </x:c>
      <x:c r="B33" s="13" t="str">
        <x:v>MPWR</x:v>
      </x:c>
      <x:c r="C33" s="13" t="str">
        <x:v>Monolithic Power</x:v>
      </x:c>
      <x:c r="D33" s="13" t="str">
        <x:v>电源管理</x:v>
      </x:c>
      <x:c r="E33" s="13" t="str">
        <x:v>Watch</x:v>
      </x:c>
      <x:c r="F33" s="13" t="n">
        <x:v>0</x:v>
      </x:c>
      <x:c r="G33" s="14" t="n">
        <x:f>IFERROR((H33-MIN($H$5:$H$65)+0.5)/(SUM($H$5:$H$65)-COUNT($H$5:$H$65)*MIN($H$5:$H$65)+0.5*COUNT($H$5:$H$65))*100,"")</x:f>
        <x:v>1.5898862781178504</x:v>
      </x:c>
      <x:c r="H33" s="14" t="n">
        <x:f>$C$2*2*(N33/10)+$E$2*S33+$G$2*Y33+$I$2*AE33+$K$2*AJ33</x:f>
        <x:v>0.29739862154790553</x:v>
      </x:c>
      <x:c r="I33" s="14" t="n">
        <x:f>$C$2*2*(N33/10)</x:f>
        <x:v>0.35200000000000004</x:v>
      </x:c>
      <x:c r="J33" s="14" t="n">
        <x:f>$E$2*S33</x:f>
        <x:v>-0.0475228073368045</x:v>
      </x:c>
      <x:c r="K33" s="14" t="n">
        <x:f>$G$2*Y33</x:f>
        <x:v>0.02856740018516343</x:v>
      </x:c>
      <x:c r="L33" s="14" t="n">
        <x:f>$I$2*AE33</x:f>
        <x:v>-0.035645971300453355</x:v>
      </x:c>
      <x:c r="M33" s="14" t="n">
        <x:f>$K$2*AJ33</x:f>
        <x:v>0</x:v>
      </x:c>
      <x:c r="N33" s="15" t="n">
        <x:v>8</x:v>
      </x:c>
      <x:c r="O33" s="15" t="n">
        <x:v>25</x:v>
      </x:c>
      <x:c r="P33" s="15" t="n">
        <x:v>0.017429361179361447</x:v>
      </x:c>
      <x:c r="Q33" s="14" t="n">
        <x:f>IFERROR((O33-AVERAGE($O$5:$O$65))/STDEV.P($O$5:$O$65),0)</x:f>
        <x:v>-0.30314634501468285</x:v>
      </x:c>
      <x:c r="R33" s="14" t="n">
        <x:f>IFERROR((P33-AVERAGE($P$5:$P$65))/STDEV.P($P$5:$P$65),0)</x:f>
        <x:v>-0.1159111783556532</x:v>
      </x:c>
      <x:c r="S33" s="14" t="n">
        <x:f>0.65*Q33+0.35*R33</x:f>
        <x:v>-0.23761403668402248</x:v>
      </x:c>
      <x:c r="T33" s="15" t="n">
        <x:v>55.34</x:v>
      </x:c>
      <x:c r="U33" s="15" t="n">
        <x:v>24.03</x:v>
      </x:c>
      <x:c r="V33" s="15" t="n">
        <x:v>24.03</x:v>
      </x:c>
      <x:c r="W33" s="14" t="n">
        <x:f>IFERROR((T33-AVERAGE($T$5:$T$65))/STDEV.P($T$5:$T$65),0)</x:f>
        <x:v>0.14829661945614642</x:v>
      </x:c>
      <x:c r="X33" s="14" t="n">
        <x:f>IFERROR((V33-AVERAGE($V$5:$V$65))/STDEV.P($V$5:$V$65),0)</x:f>
        <x:v>0.1346475731303232</x:v>
      </x:c>
      <x:c r="Y33" s="14" t="n">
        <x:f>0.6*W33+0.4*X33</x:f>
        <x:v>0.14283700092581714</x:v>
      </x:c>
      <x:c r="Z33" s="15" t="n">
        <x:v>450</x:v>
      </x:c>
      <x:c r="AA33" s="15" t="n">
        <x:v>0.581</x:v>
      </x:c>
      <x:c r="AB33" s="15" t="n">
        <x:v>18.14</x:v>
      </x:c>
      <x:c r="AC33" s="15"/>
      <x:c r="AD33" s="14" t="n">
        <x:v>7.642897943245286</x:v>
      </x:c>
      <x:c r="AE33" s="14" t="n">
        <x:f>IFERROR((AD33-AVERAGE($AD$5:$AD$65))/STDEV.P($AD$5:$AD$65),0)</x:f>
        <x:v>-0.19803317389140754</x:v>
      </x:c>
      <x:c r="AF33" s="14" t="n">
        <x:f>-AH33+0.2*AG33</x:f>
        <x:v>-0.42563750000000017</x:v>
      </x:c>
      <x:c r="AG33" s="14" t="n">
        <x:f>IFERROR((AI33-AVERAGE($AI$5:$AI$65))/STDEV.P($AI$5:$AI$65),0)</x:f>
        <x:v>0</x:v>
      </x:c>
      <x:c r="AH33" s="14" t="n">
        <x:v>0.42563750000000017</x:v>
      </x:c>
      <x:c r="AI33" s="14"/>
      <x:c r="AJ33" s="14"/>
      <x:c r="AK33" s="13" t="str">
        <x:v>2026Q1</x:v>
      </x:c>
      <x:c r="AL33" s="13" t="n">
        <x:v>9</x:v>
      </x:c>
      <x:c r="AM33" s="13" t="str">
        <x:v>Yes</x:v>
      </x:c>
      <x:c r="AN33" s="10" t="str">
        <x:v>历史加速 -3.6ppt / 前瞻 8.5ppt</x:v>
      </x:c>
      <x:c r="AO33" s="10" t="str">
        <x:v>https://www.sec.gov/Archives/edgar/data/1280452/000143774926014647/0001437749-26-014647-index.html</x:v>
      </x:c>
      <x:c r="AP33" s="10" t="str">
        <x:v>SEC Companyfacts CY2026Q1: revenue $0.804B, gross profit $0.445B, net income $0.193B</x:v>
      </x:c>
    </x:row>
    <x:row r="34">
      <x:c r="A34" s="13" t="n">
        <x:v>30</x:v>
      </x:c>
      <x:c r="B34" s="13" t="str">
        <x:v>MU</x:v>
      </x:c>
      <x:c r="C34" s="13" t="str">
        <x:v>Micron</x:v>
      </x:c>
      <x:c r="D34" s="13" t="str">
        <x:v>DRAM/HBM</x:v>
      </x:c>
      <x:c r="E34" s="13" t="str">
        <x:v>Watch</x:v>
      </x:c>
      <x:c r="F34" s="13" t="n">
        <x:v>0</x:v>
      </x:c>
      <x:c r="G34" s="14" t="n">
        <x:f>IFERROR((H34-MIN($H$5:$H$65)+0.5)/(SUM($H$5:$H$65)-COUNT($H$5:$H$65)*MIN($H$5:$H$65)+0.5*COUNT($H$5:$H$65))*100,"")</x:f>
        <x:v>2.8258975348817774</x:v>
      </x:c>
      <x:c r="H34" s="14" t="n">
        <x:f>$C$2*2*(N34/10)+$E$2*S34+$G$2*Y34+$I$2*AE34+$K$2*AJ34</x:f>
        <x:v>1.1211573327487834</x:v>
      </x:c>
      <x:c r="I34" s="14" t="n">
        <x:f>$C$2*2*(N34/10)</x:f>
        <x:v>0.396</x:v>
      </x:c>
      <x:c r="J34" s="14" t="n">
        <x:f>$E$2*S34</x:f>
        <x:v>0.4281264311380663</x:v>
      </x:c>
      <x:c r="K34" s="14" t="n">
        <x:f>$G$2*Y34</x:f>
        <x:v>0.2602503301622276</x:v>
      </x:c>
      <x:c r="L34" s="14" t="n">
        <x:f>$I$2*AE34</x:f>
        <x:v>0.036780571448489396</x:v>
      </x:c>
      <x:c r="M34" s="14" t="n">
        <x:f>$K$2*AJ34</x:f>
        <x:v>0</x:v>
      </x:c>
      <x:c r="N34" s="15" t="n">
        <x:v>9</x:v>
      </x:c>
      <x:c r="O34" s="15" t="n">
        <x:v>196.3975155279503</x:v>
      </x:c>
      <x:c r="P34" s="15" t="n">
        <x:v>18.168048133692857</x:v>
      </x:c>
      <x:c r="Q34" s="14" t="n">
        <x:f>IFERROR((O34-AVERAGE($O$5:$O$65))/STDEV.P($O$5:$O$65),0)</x:f>
        <x:v>3.142876787484857</x:v>
      </x:c>
      <x:c r="R34" s="14" t="n">
        <x:f>IFERROR((P34-AVERAGE($P$5:$P$65))/STDEV.P($P$5:$P$65),0)</x:f>
        <x:v>0.2793206966433543</x:v>
      </x:c>
      <x:c r="S34" s="14" t="n">
        <x:f>0.65*Q34+0.35*R34</x:f>
        <x:v>2.1406321556903314</x:v>
      </x:c>
      <x:c r="T34" s="15" t="n">
        <x:v>74.41</x:v>
      </x:c>
      <x:c r="U34" s="15" t="n">
        <x:v>57.77</x:v>
      </x:c>
      <x:c r="V34" s="15" t="n">
        <x:v>57.77</x:v>
      </x:c>
      <x:c r="W34" s="14" t="n">
        <x:f>IFERROR((T34-AVERAGE($T$5:$T$65))/STDEV.P($T$5:$T$65),0)</x:f>
        <x:v>1.0254462025890625</x:v>
      </x:c>
      <x:c r="X34" s="14" t="n">
        <x:f>IFERROR((V34-AVERAGE($V$5:$V$65))/STDEV.P($V$5:$V$65),0)</x:f>
        <x:v>1.7149598231442515</x:v>
      </x:c>
      <x:c r="Y34" s="14" t="n">
        <x:f>0.6*W34+0.4*X34</x:f>
        <x:v>1.301251650811138</x:v>
      </x:c>
      <x:c r="Z34" s="15" t="n">
        <x:v>8900</x:v>
      </x:c>
      <x:c r="AA34" s="15" t="n">
        <x:v>-6.117</x:v>
      </x:c>
      <x:c r="AB34" s="15" t="n">
        <x:v>-6.41</x:v>
      </x:c>
      <x:c r="AC34" s="15" t="n">
        <x:v>0.798</x:v>
      </x:c>
      <x:c r="AD34" s="14" t="n">
        <x:v>8.581544533248321</x:v>
      </x:c>
      <x:c r="AE34" s="14" t="n">
        <x:f>IFERROR((AD34-AVERAGE($AD$5:$AD$65))/STDEV.P($AD$5:$AD$65),0)</x:f>
        <x:v>0.20433650804716333</x:v>
      </x:c>
      <x:c r="AF34" s="14" t="n">
        <x:f>-AH34+0.2*AG34</x:f>
        <x:v>-2.7909917960662525</x:v>
      </x:c>
      <x:c r="AG34" s="14" t="n">
        <x:f>IFERROR((AI34-AVERAGE($AI$5:$AI$65))/STDEV.P($AI$5:$AI$65),0)</x:f>
        <x:v>0</x:v>
      </x:c>
      <x:c r="AH34" s="14" t="n">
        <x:v>2.7909917960662525</x:v>
      </x:c>
      <x:c r="AI34" s="14"/>
      <x:c r="AJ34" s="14"/>
      <x:c r="AK34" s="13" t="str">
        <x:v>2026Q1</x:v>
      </x:c>
      <x:c r="AL34" s="13" t="n">
        <x:v>335</x:v>
      </x:c>
      <x:c r="AM34" s="13" t="str">
        <x:v>Yes</x:v>
      </x:c>
      <x:c r="AN34" s="10" t="str">
        <x:v>历史加速 29.1ppt / 前瞻 -7.3ppt</x:v>
      </x:c>
      <x:c r="AO34" s="10" t="str">
        <x:v>https://micron.gcs-web.com/news-releases/news-release-details/micron-technology-inc-reports-results-second-quarter-fiscal-2026</x:v>
      </x:c>
      <x:c r="AP34" s="10" t="str">
        <x:v>FY2026 Q2 ended Feb 26 2026: revenue $23.860B, GAAP gross margin $17.755B, GAAP net income $13.785B</x:v>
      </x:c>
    </x:row>
    <x:row r="35">
      <x:c r="A35" s="13" t="n">
        <x:v>31</x:v>
      </x:c>
      <x:c r="B35" s="13" t="str">
        <x:v>TER</x:v>
      </x:c>
      <x:c r="C35" s="13" t="str">
        <x:v>Teradyne</x:v>
      </x:c>
      <x:c r="D35" s="13" t="str">
        <x:v>测试设备</x:v>
      </x:c>
      <x:c r="E35" s="13" t="str">
        <x:v>Watch</x:v>
      </x:c>
      <x:c r="F35" s="13" t="n">
        <x:v>0</x:v>
      </x:c>
      <x:c r="G35" s="14" t="n">
        <x:f>IFERROR((H35-MIN($H$5:$H$65)+0.5)/(SUM($H$5:$H$65)-COUNT($H$5:$H$65)*MIN($H$5:$H$65)+0.5*COUNT($H$5:$H$65))*100,"")</x:f>
        <x:v>1.698863176263466</x:v>
      </x:c>
      <x:c r="H35" s="14" t="n">
        <x:f>$C$2*2*(N35/10)+$E$2*S35+$G$2*Y35+$I$2*AE35+$K$2*AJ35</x:f>
        <x:v>0.3700279513180369</x:v>
      </x:c>
      <x:c r="I35" s="14" t="n">
        <x:f>$C$2*2*(N35/10)</x:f>
        <x:v>0.308</x:v>
      </x:c>
      <x:c r="J35" s="14" t="n">
        <x:f>$E$2*S35</x:f>
        <x:v>0.11890319177205022</x:v>
      </x:c>
      <x:c r="K35" s="14" t="n">
        <x:f>$G$2*Y35</x:f>
        <x:v>0.08569248240152397</x:v>
      </x:c>
      <x:c r="L35" s="14" t="n">
        <x:f>$I$2*AE35</x:f>
        <x:v>-0.14256772285553734</x:v>
      </x:c>
      <x:c r="M35" s="14" t="n">
        <x:f>$K$2*AJ35</x:f>
        <x:v>0</x:v>
      </x:c>
      <x:c r="N35" s="15" t="n">
        <x:v>7</x:v>
      </x:c>
      <x:c r="O35" s="15" t="n">
        <x:v>85.5072463768116</x:v>
      </x:c>
      <x:c r="P35" s="15" t="n">
        <x:v>5.44809880135967</x:v>
      </x:c>
      <x:c r="Q35" s="14" t="n">
        <x:f>IFERROR((O35-AVERAGE($O$5:$O$65))/STDEV.P($O$5:$O$65),0)</x:f>
        <x:v>0.9133787023646621</x:v>
      </x:c>
      <x:c r="R35" s="14" t="n">
        <x:f>IFERROR((P35-AVERAGE($P$5:$P$65))/STDEV.P($P$5:$P$65),0)</x:f>
        <x:v>0.0023422923520589013</x:v>
      </x:c>
      <x:c r="S35" s="14" t="n">
        <x:f>0.65*Q35+0.35*R35</x:f>
        <x:v>0.5945159588602511</x:v>
      </x:c>
      <x:c r="T35" s="15" t="n">
        <x:v>60.89</x:v>
      </x:c>
      <x:c r="U35" s="15" t="n">
        <x:v>31.1</x:v>
      </x:c>
      <x:c r="V35" s="15" t="n">
        <x:v>31.1</x:v>
      </x:c>
      <x:c r="W35" s="14" t="n">
        <x:f>IFERROR((T35-AVERAGE($T$5:$T$65))/STDEV.P($T$5:$T$65),0)</x:f>
        <x:v>0.4035761258215205</x:v>
      </x:c>
      <x:c r="X35" s="14" t="n">
        <x:f>IFERROR((V35-AVERAGE($V$5:$V$65))/STDEV.P($V$5:$V$65),0)</x:f>
        <x:v>0.46579184128676876</x:v>
      </x:c>
      <x:c r="Y35" s="14" t="n">
        <x:f>0.6*W35+0.4*X35</x:f>
        <x:v>0.4284624120076198</x:v>
      </x:c>
      <x:c r="Z35" s="15" t="n">
        <x:v>250</x:v>
      </x:c>
      <x:c r="AA35" s="15" t="n">
        <x:v>0.426</x:v>
      </x:c>
      <x:c r="AB35" s="15" t="n">
        <x:v>8.31</x:v>
      </x:c>
      <x:c r="AC35" s="15" t="n">
        <x:v>0.294</x:v>
      </x:c>
      <x:c r="AD35" s="14" t="n">
        <x:v>6.257194115820825</x:v>
      </x:c>
      <x:c r="AE35" s="14" t="n">
        <x:f>IFERROR((AD35-AVERAGE($AD$5:$AD$65))/STDEV.P($AD$5:$AD$65),0)</x:f>
        <x:v>-0.7920429047529852</x:v>
      </x:c>
      <x:c r="AF35" s="14" t="n">
        <x:f>-AH35+0.2*AG35</x:f>
        <x:v>-0.6963146739130435</x:v>
      </x:c>
      <x:c r="AG35" s="14" t="n">
        <x:f>IFERROR((AI35-AVERAGE($AI$5:$AI$65))/STDEV.P($AI$5:$AI$65),0)</x:f>
        <x:v>0</x:v>
      </x:c>
      <x:c r="AH35" s="14" t="n">
        <x:v>0.6963146739130435</x:v>
      </x:c>
      <x:c r="AI35" s="14"/>
      <x:c r="AJ35" s="14"/>
      <x:c r="AK35" s="13" t="str">
        <x:v>2026Q1</x:v>
      </x:c>
      <x:c r="AL35" s="13" t="n">
        <x:v>12</x:v>
      </x:c>
      <x:c r="AM35" s="13" t="str">
        <x:v>Yes</x:v>
      </x:c>
      <x:c r="AN35" s="10" t="str">
        <x:v>历史加速 23.1ppt / 前瞻 -35.6ppt</x:v>
      </x:c>
      <x:c r="AO35" s="10" t="str">
        <x:v>https://www.sec.gov/Archives/edgar/data/97210/000119312526201058/0001193125-26-201058-index.html</x:v>
      </x:c>
      <x:c r="AP35" s="10" t="str">
        <x:v>SEC Companyfacts CY2026Q1: revenue $1.282B, gross profit $0.781B, net income $0.399B</x:v>
      </x:c>
    </x:row>
    <x:row r="36">
      <x:c r="A36" s="13" t="n">
        <x:v>32</x:v>
      </x:c>
      <x:c r="B36" s="13" t="str">
        <x:v>VRT</x:v>
      </x:c>
      <x:c r="C36" s="13" t="str">
        <x:v>Vertiv</x:v>
      </x:c>
      <x:c r="D36" s="13" t="str">
        <x:v>数据中心基础设施</x:v>
      </x:c>
      <x:c r="E36" s="13" t="str">
        <x:v>Watch</x:v>
      </x:c>
      <x:c r="F36" s="13" t="n">
        <x:v>0</x:v>
      </x:c>
      <x:c r="G36" s="14" t="n">
        <x:f>IFERROR((H36-MIN($H$5:$H$65)+0.5)/(SUM($H$5:$H$65)-COUNT($H$5:$H$65)*MIN($H$5:$H$65)+0.5*COUNT($H$5:$H$65))*100,"")</x:f>
        <x:v>1.3825809375033236</x:v>
      </x:c>
      <x:c r="H36" s="14" t="n">
        <x:f>$C$2*2*(N36/10)+$E$2*S36+$G$2*Y36+$I$2*AE36+$K$2*AJ36</x:f>
        <x:v>0.1592367890604059</x:v>
      </x:c>
      <x:c r="I36" s="14" t="n">
        <x:f>$C$2*2*(N36/10)</x:f>
        <x:v>0.35200000000000004</x:v>
      </x:c>
      <x:c r="J36" s="14" t="n">
        <x:f>$E$2*S36</x:f>
        <x:v>-0.0587063029246419</x:v>
      </x:c>
      <x:c r="K36" s="14" t="n">
        <x:f>$G$2*Y36</x:f>
        <x:v>-0.10351689784562178</x:v>
      </x:c>
      <x:c r="L36" s="14" t="n">
        <x:f>$I$2*AE36</x:f>
        <x:v>-0.03054001016933046</x:v>
      </x:c>
      <x:c r="M36" s="14" t="n">
        <x:f>$K$2*AJ36</x:f>
        <x:v>0</x:v>
      </x:c>
      <x:c r="N36" s="15" t="n">
        <x:v>8</x:v>
      </x:c>
      <x:c r="O36" s="15" t="n">
        <x:v>29.90196078431373</x:v>
      </x:c>
      <x:c r="P36" s="15" t="n">
        <x:v>-15.725170382490404</x:v>
      </x:c>
      <x:c r="Q36" s="14" t="n">
        <x:f>IFERROR((O36-AVERAGE($O$5:$O$65))/STDEV.P($O$5:$O$65),0)</x:f>
        <x:v>-0.20459024748130858</x:v>
      </x:c>
      <x:c r="R36" s="14" t="n">
        <x:f>IFERROR((P36-AVERAGE($P$5:$P$65))/STDEV.P($P$5:$P$65),0)</x:f>
        <x:v>-0.4587081536010254</x:v>
      </x:c>
      <x:c r="S36" s="14" t="n">
        <x:f>0.65*Q36+0.35*R36</x:f>
        <x:v>-0.2935315146232095</x:v>
      </x:c>
      <x:c r="T36" s="15" t="n">
        <x:v>37.73</x:v>
      </x:c>
      <x:c r="U36" s="15" t="n">
        <x:v>14.72</x:v>
      </x:c>
      <x:c r="V36" s="15" t="n">
        <x:v>14.72</x:v>
      </x:c>
      <x:c r="W36" s="14" t="n">
        <x:f>IFERROR((T36-AVERAGE($T$5:$T$65))/STDEV.P($T$5:$T$65),0)</x:f>
        <x:v>-0.6616983547950683</x:v>
      </x:c>
      <x:c r="X36" s="14" t="n">
        <x:f>IFERROR((V36-AVERAGE($V$5:$V$65))/STDEV.P($V$5:$V$65),0)</x:f>
        <x:v>-0.3014136908776695</x:v>
      </x:c>
      <x:c r="Y36" s="14" t="n">
        <x:f>0.6*W36+0.4*X36</x:f>
        <x:v>-0.5175844892281088</x:v>
      </x:c>
      <x:c r="Z36" s="15" t="n">
        <x:v>1129</x:v>
      </x:c>
      <x:c r="AA36" s="15" t="n">
        <x:v>0.773</x:v>
      </x:c>
      <x:c r="AB36" s="15" t="n">
        <x:v>7.29</x:v>
      </x:c>
      <x:c r="AC36" s="15" t="n">
        <x:v>-1.185</x:v>
      </x:c>
      <x:c r="AD36" s="14" t="n">
        <x:v>7.709071100523134</x:v>
      </x:c>
      <x:c r="AE36" s="14" t="n">
        <x:f>IFERROR((AD36-AVERAGE($AD$5:$AD$65))/STDEV.P($AD$5:$AD$65),0)</x:f>
        <x:v>-0.169666723162947</x:v>
      </x:c>
      <x:c r="AF36" s="14" t="n">
        <x:f>-AH36+0.2*AG36</x:f>
        <x:v>-0.2</x:v>
      </x:c>
      <x:c r="AG36" s="14" t="n">
        <x:f>IFERROR((AI36-AVERAGE($AI$5:$AI$65))/STDEV.P($AI$5:$AI$65),0)</x:f>
        <x:v>0</x:v>
      </x:c>
      <x:c r="AH36" s="14" t="n">
        <x:v>0.2</x:v>
      </x:c>
      <x:c r="AI36" s="14"/>
      <x:c r="AJ36" s="14"/>
      <x:c r="AK36" s="13" t="str">
        <x:v>2026Q1</x:v>
      </x:c>
      <x:c r="AL36" s="13"/>
      <x:c r="AM36" s="13" t="str">
        <x:v>No</x:v>
      </x:c>
      <x:c r="AN36" s="10" t="str">
        <x:v>历史加速 -15.7ppt / 无forecast不扣分</x:v>
      </x:c>
      <x:c r="AO36" s="10" t="str">
        <x:v>https://www.sec.gov/Archives/edgar/data/1674101/000162828026026556/0001628280-26-026556-index.html</x:v>
      </x:c>
      <x:c r="AP36" s="10" t="str">
        <x:v>SEC Companyfacts CY2026Q1: revenue $2.650B, gross profit $1.000B (revenue minus CostOfGoodsAndServicesSold $1.650B), net income $0.390B</x:v>
      </x:c>
    </x:row>
    <x:row r="37">
      <x:c r="A37" s="13" t="n">
        <x:v>33</x:v>
      </x:c>
      <x:c r="B37" s="13" t="str">
        <x:v>VST</x:v>
      </x:c>
      <x:c r="C37" s="13" t="str">
        <x:v>Vistra</x:v>
      </x:c>
      <x:c r="D37" s="13" t="str">
        <x:v>独立电力</x:v>
      </x:c>
      <x:c r="E37" s="13" t="str">
        <x:v>Watch</x:v>
      </x:c>
      <x:c r="F37" s="13" t="n">
        <x:v>0</x:v>
      </x:c>
      <x:c r="G37" s="14" t="n">
        <x:f>IFERROR((H37-MIN($H$5:$H$65)+0.5)/(SUM($H$5:$H$65)-COUNT($H$5:$H$65)*MIN($H$5:$H$65)+0.5*COUNT($H$5:$H$65))*100,"")</x:f>
        <x:v>1.6796158173387545</x:v>
      </x:c>
      <x:c r="H37" s="14" t="n">
        <x:f>$C$2*2*(N37/10)+$E$2*S37+$G$2*Y37+$I$2*AE37+$K$2*AJ37</x:f>
        <x:v>0.3572002529495346</x:v>
      </x:c>
      <x:c r="I37" s="14" t="n">
        <x:f>$C$2*2*(N37/10)</x:f>
        <x:v>0.35200000000000004</x:v>
      </x:c>
      <x:c r="J37" s="14" t="n">
        <x:f>$E$2*S37</x:f>
        <x:v>-0.00662454321493933</x:v>
      </x:c>
      <x:c r="K37" s="14" t="n">
        <x:f>$G$2*Y37</x:f>
        <x:v>0.0057681528784126156</x:v>
      </x:c>
      <x:c r="L37" s="14" t="n">
        <x:f>$I$2*AE37</x:f>
        <x:v>0.006056643286061298</x:v>
      </x:c>
      <x:c r="M37" s="14" t="n">
        <x:f>$K$2*AJ37</x:f>
        <x:v>0</x:v>
      </x:c>
      <x:c r="N37" s="15" t="n">
        <x:v>8</x:v>
      </x:c>
      <x:c r="O37" s="15" t="n">
        <x:v>43.51145038167941</x:v>
      </x:c>
      <x:c r="P37" s="15" t="n">
        <x:v>-4.893323900370733</x:v>
      </x:c>
      <x:c r="Q37" s="14" t="n">
        <x:f>IFERROR((O37-AVERAGE($O$5:$O$65))/STDEV.P($O$5:$O$65),0)</x:f>
        <x:v>0.06903458208272377</x:v>
      </x:c>
      <x:c r="R37" s="14" t="n">
        <x:f>IFERROR((P37-AVERAGE($P$5:$P$65))/STDEV.P($P$5:$P$65),0)</x:f>
        <x:v>-0.22284341265276314</x:v>
      </x:c>
      <x:c r="S37" s="14" t="n">
        <x:f>0.65*Q37+0.35*R37</x:f>
        <x:v>-0.03312271607469665</x:v>
      </x:c>
      <x:c r="T37" s="15" t="n">
        <x:v>55.14</x:v>
      </x:c>
      <x:c r="U37" s="15" t="n">
        <x:v>18.24</x:v>
      </x:c>
      <x:c r="V37" s="15" t="n">
        <x:v>18.24</x:v>
      </x:c>
      <x:c r="W37" s="14" t="n">
        <x:f>IFERROR((T37-AVERAGE($T$5:$T$65))/STDEV.P($T$5:$T$65),0)</x:f>
        <x:v>0.13909735796550218</x:v>
      </x:c>
      <x:c r="X37" s="14" t="n">
        <x:f>IFERROR((V37-AVERAGE($V$5:$V$65))/STDEV.P($V$5:$V$65),0)</x:f>
        <x:v>-0.1365441259680956</x:v>
      </x:c>
      <x:c r="Y37" s="14" t="n">
        <x:f>0.6*W37+0.4*X37</x:f>
        <x:v>0.028840764392063074</x:v>
      </x:c>
      <x:c r="Z37" s="15" t="n">
        <x:v>800</x:v>
      </x:c>
      <x:c r="AA37" s="15" t="n">
        <x:v>3.777</x:v>
      </x:c>
      <x:c r="AB37" s="15" t="n">
        <x:v>16.74</x:v>
      </x:c>
      <x:c r="AC37" s="15" t="n">
        <x:v>-16.258</x:v>
      </x:c>
      <x:c r="AD37" s="14" t="n">
        <x:v>8.183363019861334</x:v>
      </x:c>
      <x:c r="AE37" s="14" t="n">
        <x:f>IFERROR((AD37-AVERAGE($AD$5:$AD$65))/STDEV.P($AD$5:$AD$65),0)</x:f>
        <x:v>0.033648018255896105</x:v>
      </x:c>
      <x:c r="AF37" s="14" t="n">
        <x:f>-AH37+0.2*AG37</x:f>
        <x:v>-0.7254625</x:v>
      </x:c>
      <x:c r="AG37" s="14" t="n">
        <x:f>IFERROR((AI37-AVERAGE($AI$5:$AI$65))/STDEV.P($AI$5:$AI$65),0)</x:f>
        <x:v>0</x:v>
      </x:c>
      <x:c r="AH37" s="14" t="n">
        <x:v>0.7254625</x:v>
      </x:c>
      <x:c r="AI37" s="14"/>
      <x:c r="AJ37" s="14"/>
      <x:c r="AK37" s="13" t="str">
        <x:v>2026Q1</x:v>
      </x:c>
      <x:c r="AL37" s="13"/>
      <x:c r="AM37" s="13" t="str">
        <x:v>No</x:v>
      </x:c>
      <x:c r="AN37" s="10" t="str">
        <x:v>历史加速 -4.9ppt / 无forecast不扣分</x:v>
      </x:c>
      <x:c r="AO37" s="10" t="str">
        <x:v>https://www.sec.gov/Archives/edgar/data/1692819/000169281926000014/0001692819-26-000014-index.html</x:v>
      </x:c>
      <x:c r="AP37" s="10" t="str">
        <x:v>Vistra IR Q1 2026 results: operating revenues $5.640B, gross profit $3.110B (operating revenues minus fuel, purchased power costs, and delivery fees $2.530B), net income $1.029B</x:v>
      </x:c>
    </x:row>
    <x:row r="38">
      <x:c r="A38" s="13" t="n">
        <x:v>34</x:v>
      </x:c>
      <x:c r="B38" s="13" t="str">
        <x:v>CRWV</x:v>
      </x:c>
      <x:c r="C38" s="13" t="str">
        <x:v>CoreWeave</x:v>
      </x:c>
      <x:c r="D38" s="13" t="str">
        <x:v>AI 云</x:v>
      </x:c>
      <x:c r="E38" s="13" t="str">
        <x:v>Watch</x:v>
      </x:c>
      <x:c r="F38" s="13" t="n">
        <x:v>0</x:v>
      </x:c>
      <x:c r="G38" s="14" t="n">
        <x:f>IFERROR((H38-MIN($H$5:$H$65)+0.5)/(SUM($H$5:$H$65)-COUNT($H$5:$H$65)*MIN($H$5:$H$65)+0.5*COUNT($H$5:$H$65))*100,"")</x:f>
        <x:v>1.3195982110978954</x:v>
      </x:c>
      <x:c r="H38" s="14" t="n">
        <x:f>$C$2*2*(N38/10)+$E$2*S38+$G$2*Y38+$I$2*AE38+$K$2*AJ38</x:f>
        <x:v>0.11726098240999583</x:v>
      </x:c>
      <x:c r="I38" s="14" t="n">
        <x:f>$C$2*2*(N38/10)</x:f>
        <x:v>0.308</x:v>
      </x:c>
      <x:c r="J38" s="14" t="n">
        <x:f>$E$2*S38</x:f>
        <x:v>0.1857422704130816</x:v>
      </x:c>
      <x:c r="K38" s="14" t="n">
        <x:f>$G$2*Y38</x:f>
        <x:v>-0.11758545112991925</x:v>
      </x:c>
      <x:c r="L38" s="14" t="n">
        <x:f>$I$2*AE38</x:f>
        <x:v>-0.25889583687316653</x:v>
      </x:c>
      <x:c r="M38" s="14" t="n">
        <x:f>$K$2*AJ38</x:f>
        <x:v>0</x:v>
      </x:c>
      <x:c r="N38" s="15" t="n">
        <x:v>7</x:v>
      </x:c>
      <x:c r="O38" s="15" t="n">
        <x:v>112.24489795918369</x:v>
      </x:c>
      <x:c r="P38" s="15" t="n">
        <x:v>3.450191122018758</x:v>
      </x:c>
      <x:c r="Q38" s="14" t="n">
        <x:f>IFERROR((O38-AVERAGE($O$5:$O$65))/STDEV.P($O$5:$O$65),0)</x:f>
        <x:v>1.450951056186453</x:v>
      </x:c>
      <x:c r="R38" s="14" t="n">
        <x:f>IFERROR((P38-AVERAGE($P$5:$P$65))/STDEV.P($P$5:$P$65),0)</x:f>
        <x:v>-0.04116238415938962</x:v>
      </x:c>
      <x:c r="S38" s="14" t="n">
        <x:f>0.65*Q38+0.35*R38</x:f>
        <x:v>0.928711352065408</x:v>
      </x:c>
      <x:c r="T38" s="15" t="n">
        <x:v>65.54</x:v>
      </x:c>
      <x:c r="U38" s="15" t="n">
        <x:v>-35.61</x:v>
      </x:c>
      <x:c r="V38" s="15" t="n">
        <x:v>-30</x:v>
      </x:c>
      <x:c r="W38" s="14" t="n">
        <x:f>IFERROR((T38-AVERAGE($T$5:$T$65))/STDEV.P($T$5:$T$65),0)</x:f>
        <x:v>0.6174589554789964</x:v>
      </x:c>
      <x:c r="X38" s="14" t="n">
        <x:f>IFERROR((V38-AVERAGE($V$5:$V$65))/STDEV.P($V$5:$V$65),0)</x:f>
        <x:v>-2.396006572342485</x:v>
      </x:c>
      <x:c r="Y38" s="14" t="n">
        <x:f>0.6*W38+0.4*X38</x:f>
        <x:v>-0.5879272556495962</x:v>
      </x:c>
      <x:c r="Z38" s="15" t="n">
        <x:v>427</x:v>
      </x:c>
      <x:c r="AA38" s="15" t="n">
        <x:v>-1.11</x:v>
      </x:c>
      <x:c r="AB38" s="15" t="n">
        <x:v>-13.34</x:v>
      </x:c>
      <x:c r="AC38" s="15" t="n">
        <x:v>-20.097</x:v>
      </x:c>
      <x:c r="AD38" s="14" t="n">
        <x:v>4.749584013228625</x:v>
      </x:c>
      <x:c r="AE38" s="14" t="n">
        <x:f>IFERROR((AD38-AVERAGE($AD$5:$AD$65))/STDEV.P($AD$5:$AD$65),0)</x:f>
        <x:v>-1.4383102048509253</x:v>
      </x:c>
      <x:c r="AF38" s="14" t="n">
        <x:f>-AH38+0.2*AG38</x:f>
        <x:v>-0.12687074829931974</x:v>
      </x:c>
      <x:c r="AG38" s="14" t="n">
        <x:f>IFERROR((AI38-AVERAGE($AI$5:$AI$65))/STDEV.P($AI$5:$AI$65),0)</x:f>
        <x:v>0</x:v>
      </x:c>
      <x:c r="AH38" s="14" t="n">
        <x:v>0.12687074829931974</x:v>
      </x:c>
      <x:c r="AI38" s="14"/>
      <x:c r="AJ38" s="14"/>
      <x:c r="AK38" s="13" t="str">
        <x:v>2026Q1</x:v>
      </x:c>
      <x:c r="AL38" s="13" t="n">
        <x:v>25.25</x:v>
      </x:c>
      <x:c r="AM38" s="13" t="str">
        <x:v>Yes</x:v>
      </x:c>
      <x:c r="AN38" s="10" t="str">
        <x:v>历史加速 6.0ppt / 前瞻 -2.6ppt</x:v>
      </x:c>
      <x:c r="AO38" s="10" t="str">
        <x:v>https://www.sec.gov/Archives/edgar/data/1769628/000176962826000222/0001769628-26-000222-index.html</x:v>
      </x:c>
      <x:c r="AP38" s="10" t="str">
        <x:v>SEC Companyfacts CY2026Q1: revenue $2.078B, gross profit $1.362B (revenue minus CostOfGoodsAndServicesSold $0.716B), net income $-0.740B</x:v>
      </x:c>
    </x:row>
    <x:row r="39">
      <x:c r="A39" s="13" t="n">
        <x:v>35</x:v>
      </x:c>
      <x:c r="B39" s="13" t="str">
        <x:v>TSLA</x:v>
      </x:c>
      <x:c r="C39" s="13" t="str">
        <x:v>Tesla</x:v>
      </x:c>
      <x:c r="D39" s="13" t="str">
        <x:v>电车/AI</x:v>
      </x:c>
      <x:c r="E39" s="13" t="str">
        <x:v>Watch</x:v>
      </x:c>
      <x:c r="F39" s="13" t="n">
        <x:v>0</x:v>
      </x:c>
      <x:c r="G39" s="14" t="n">
        <x:f>IFERROR((H39-MIN($H$5:$H$65)+0.5)/(SUM($H$5:$H$65)-COUNT($H$5:$H$65)*MIN($H$5:$H$65)+0.5*COUNT($H$5:$H$65))*100,"")</x:f>
        <x:v>1.2632875525305038</x:v>
      </x:c>
      <x:c r="H39" s="14" t="n">
        <x:f>$C$2*2*(N39/10)+$E$2*S39+$G$2*Y39+$I$2*AE39+$K$2*AJ39</x:f>
        <x:v>0.07973187798274811</x:v>
      </x:c>
      <x:c r="I39" s="14" t="n">
        <x:f>$C$2*2*(N39/10)</x:f>
        <x:v>0.264</x:v>
      </x:c>
      <x:c r="J39" s="14" t="n">
        <x:f>$E$2*S39</x:f>
        <x:v>-0.11928688474285623</x:v>
      </x:c>
      <x:c r="K39" s="14" t="n">
        <x:f>$G$2*Y39</x:f>
        <x:v>-0.24259269791469143</x:v>
      </x:c>
      <x:c r="L39" s="14" t="n">
        <x:f>$I$2*AE39</x:f>
        <x:v>0.17761146064029576</x:v>
      </x:c>
      <x:c r="M39" s="14" t="n">
        <x:f>$K$2*AJ39</x:f>
        <x:v>0</x:v>
      </x:c>
      <x:c r="N39" s="15" t="n">
        <x:v>6</x:v>
      </x:c>
      <x:c r="O39" s="15" t="n">
        <x:v>15.830315571650289</x:v>
      </x:c>
      <x:c r="P39" s="15" t="n">
        <x:v>-31.340249753738796</x:v>
      </x:c>
      <x:c r="Q39" s="14" t="n">
        <x:f>IFERROR((O39-AVERAGE($O$5:$O$65))/STDEV.P($O$5:$O$65),0)</x:f>
        <x:v>-0.487506920840305</x:v>
      </x:c>
      <x:c r="R39" s="14" t="n">
        <x:f>IFERROR((P39-AVERAGE($P$5:$P$65))/STDEV.P($P$5:$P$65),0)</x:f>
        <x:v>-0.7987283576230939</x:v>
      </x:c>
      <x:c r="S39" s="14" t="n">
        <x:f>0.65*Q39+0.35*R39</x:f>
        <x:v>-0.5964344237142811</x:v>
      </x:c>
      <x:c r="T39" s="15" t="n">
        <x:v>21.08</x:v>
      </x:c>
      <x:c r="U39" s="15" t="n">
        <x:v>2.13</x:v>
      </x:c>
      <x:c r="V39" s="15" t="n">
        <x:v>2.13</x:v>
      </x:c>
      <x:c r="W39" s="14" t="n">
        <x:f>IFERROR((T39-AVERAGE($T$5:$T$65))/STDEV.P($T$5:$T$65),0)</x:f>
        <x:v>-1.4275368738911909</x:v>
      </x:c>
      <x:c r="X39" s="14" t="n">
        <x:f>IFERROR((V39-AVERAGE($V$5:$V$65))/STDEV.P($V$5:$V$65),0)</x:f>
        <x:v>-0.8911034130968563</x:v>
      </x:c>
      <x:c r="Y39" s="14" t="n">
        <x:f>0.6*W39+0.4*X39</x:f>
        <x:v>-1.2129634895734571</x:v>
      </x:c>
      <x:c r="Z39" s="15" t="n">
        <x:v>16520</x:v>
      </x:c>
      <x:c r="AA39" s="15" t="n">
        <x:v>4.357</x:v>
      </x:c>
      <x:c r="AB39" s="15" t="n">
        <x:v>4.86</x:v>
      </x:c>
      <x:c r="AC39" s="15" t="n">
        <x:v>9.555</x:v>
      </x:c>
      <x:c r="AD39" s="14" t="n">
        <x:v>10.40671012709981</x:v>
      </x:c>
      <x:c r="AE39" s="14" t="n">
        <x:f>IFERROR((AD39-AVERAGE($AD$5:$AD$65))/STDEV.P($AD$5:$AD$65),0)</x:f>
        <x:v>0.986730336890532</x:v>
      </x:c>
      <x:c r="AF39" s="14" t="n">
        <x:f>-AH39+0.2*AG39</x:f>
        <x:v>-0.10227499999999994</x:v>
      </x:c>
      <x:c r="AG39" s="14" t="n">
        <x:f>IFERROR((AI39-AVERAGE($AI$5:$AI$65))/STDEV.P($AI$5:$AI$65),0)</x:f>
        <x:v>0</x:v>
      </x:c>
      <x:c r="AH39" s="14" t="n">
        <x:v>0.10227499999999994</x:v>
      </x:c>
      <x:c r="AI39" s="14"/>
      <x:c r="AJ39" s="14"/>
      <x:c r="AK39" s="13" t="str">
        <x:v>2026Q1</x:v>
      </x:c>
      <x:c r="AL39" s="13"/>
      <x:c r="AM39" s="13" t="str">
        <x:v>No</x:v>
      </x:c>
      <x:c r="AN39" s="10" t="str">
        <x:v>历史加速 -31.3ppt / 无forecast不扣分</x:v>
      </x:c>
      <x:c r="AO39" s="10" t="str">
        <x:v>https://www.sec.gov/Archives/edgar/data/1318605/000162828026026673/0001628280-26-026673-index.html</x:v>
      </x:c>
      <x:c r="AP39" s="10" t="str">
        <x:v>SEC Companyfacts CY2026Q1: revenue $22.387B, gross profit $4.720B, net income $0.477B</x:v>
      </x:c>
    </x:row>
    <x:row r="40">
      <x:c r="A40" s="13" t="n">
        <x:v>36</x:v>
      </x:c>
      <x:c r="B40" s="13" t="str">
        <x:v>ETN</x:v>
      </x:c>
      <x:c r="C40" s="13" t="str">
        <x:v>Eaton</x:v>
      </x:c>
      <x:c r="D40" s="13" t="str">
        <x:v>电力管理</x:v>
      </x:c>
      <x:c r="E40" s="13" t="str">
        <x:v>Watch</x:v>
      </x:c>
      <x:c r="F40" s="13" t="n">
        <x:v>0</x:v>
      </x:c>
      <x:c r="G40" s="14" t="n">
        <x:f>IFERROR((H40-MIN($H$5:$H$65)+0.5)/(SUM($H$5:$H$65)-COUNT($H$5:$H$65)*MIN($H$5:$H$65)+0.5*COUNT($H$5:$H$65))*100,"")</x:f>
        <x:v>1.4093508711761122</x:v>
      </x:c>
      <x:c r="H40" s="14" t="n">
        <x:f>$C$2*2*(N40/10)+$E$2*S40+$G$2*Y40+$I$2*AE40+$K$2*AJ40</x:f>
        <x:v>0.1770780230625662</x:v>
      </x:c>
      <x:c r="I40" s="14" t="n">
        <x:f>$C$2*2*(N40/10)</x:f>
        <x:v>0.35200000000000004</x:v>
      </x:c>
      <x:c r="J40" s="14" t="n">
        <x:f>$E$2*S40</x:f>
        <x:v>-0.07140982667681947</x:v>
      </x:c>
      <x:c r="K40" s="14" t="n">
        <x:f>$G$2*Y40</x:f>
        <x:v>-0.1268321487876177</x:v>
      </x:c>
      <x:c r="L40" s="14" t="n">
        <x:f>$I$2*AE40</x:f>
        <x:v>0.023319998527003307</x:v>
      </x:c>
      <x:c r="M40" s="14" t="n">
        <x:f>$K$2*AJ40</x:f>
        <x:v>0</x:v>
      </x:c>
      <x:c r="N40" s="15" t="n">
        <x:v>8</x:v>
      </x:c>
      <x:c r="O40" s="15" t="n">
        <x:v>16.771159874608156</x:v>
      </x:c>
      <x:c r="P40" s="15" t="n">
        <x:v>-1.5434848838298767</x:v>
      </x:c>
      <x:c r="Q40" s="14" t="n">
        <x:f>IFERROR((O40-AVERAGE($O$5:$O$65))/STDEV.P($O$5:$O$65),0)</x:f>
        <x:v>-0.46859082849155387</x:v>
      </x:c>
      <x:c r="R40" s="14" t="n">
        <x:f>IFERROR((P40-AVERAGE($P$5:$P$65))/STDEV.P($P$5:$P$65),0)</x:f>
        <x:v>-0.1499002710416779</x:v>
      </x:c>
      <x:c r="S40" s="14" t="n">
        <x:f>0.65*Q40+0.35*R40</x:f>
        <x:v>-0.35704913338409733</x:v>
      </x:c>
      <x:c r="T40" s="15" t="n">
        <x:v>35.59</x:v>
      </x:c>
      <x:c r="U40" s="15" t="n">
        <x:v>11.65</x:v>
      </x:c>
      <x:c r="V40" s="15" t="n">
        <x:v>11.65</x:v>
      </x:c>
      <x:c r="W40" s="14" t="n">
        <x:f>IFERROR((T40-AVERAGE($T$5:$T$65))/STDEV.P($T$5:$T$65),0)</x:f>
        <x:v>-0.76013045274496</x:v>
      </x:c>
      <x:c r="X40" s="14" t="n">
        <x:f>IFERROR((V40-AVERAGE($V$5:$V$65))/STDEV.P($V$5:$V$65),0)</x:f>
        <x:v>-0.44520618072778095</x:v>
      </x:c>
      <x:c r="Y40" s="14" t="n">
        <x:f>0.6*W40+0.4*X40</x:f>
        <x:v>-0.6341607439380884</x:v>
      </x:c>
      <x:c r="Z40" s="15" t="n">
        <x:v>1681</x:v>
      </x:c>
      <x:c r="AA40" s="15" t="n">
        <x:v>2.867</x:v>
      </x:c>
      <x:c r="AB40" s="15" t="n">
        <x:v>9.62</x:v>
      </x:c>
      <x:c r="AC40" s="15" t="n">
        <x:v>-9.272</x:v>
      </x:c>
      <x:c r="AD40" s="14" t="n">
        <x:v>8.407095769125522</x:v>
      </x:c>
      <x:c r="AE40" s="14" t="n">
        <x:f>IFERROR((AD40-AVERAGE($AD$5:$AD$65))/STDEV.P($AD$5:$AD$65),0)</x:f>
        <x:v>0.1295555473722406</x:v>
      </x:c>
      <x:c r="AF40" s="14" t="n">
        <x:f>-AH40+0.2*AG40</x:f>
        <x:v>-0.2</x:v>
      </x:c>
      <x:c r="AG40" s="14" t="n">
        <x:f>IFERROR((AI40-AVERAGE($AI$5:$AI$65))/STDEV.P($AI$5:$AI$65),0)</x:f>
        <x:v>0</x:v>
      </x:c>
      <x:c r="AH40" s="14" t="n">
        <x:v>0.2</x:v>
      </x:c>
      <x:c r="AI40" s="14"/>
      <x:c r="AJ40" s="14"/>
      <x:c r="AK40" s="13" t="str">
        <x:v>2026Q1</x:v>
      </x:c>
      <x:c r="AL40" s="13"/>
      <x:c r="AM40" s="13" t="str">
        <x:v>No</x:v>
      </x:c>
      <x:c r="AN40" s="10" t="str">
        <x:v>历史加速 -1.5ppt / 无forecast不扣分</x:v>
      </x:c>
      <x:c r="AO40" s="10" t="str">
        <x:v>https://www.sec.gov/Archives/edgar/data/1551182/000155118226000013/0001551182-26-000013-index.html</x:v>
      </x:c>
      <x:c r="AP40" s="10" t="str">
        <x:v>SEC Companyfacts CY2026Q1: revenue $7.451B, gross profit $2.652B (revenue minus CostOfRevenue $4.799B), net income $0.868B</x:v>
      </x:c>
    </x:row>
    <x:row r="41">
      <x:c r="A41" s="13" t="n">
        <x:v>37</x:v>
      </x:c>
      <x:c r="B41" s="13" t="str">
        <x:v>CEG</x:v>
      </x:c>
      <x:c r="C41" s="13" t="str">
        <x:v>Constellation Energy</x:v>
      </x:c>
      <x:c r="D41" s="13" t="str">
        <x:v>核电</x:v>
      </x:c>
      <x:c r="E41" s="13" t="str">
        <x:v>Watch</x:v>
      </x:c>
      <x:c r="F41" s="13" t="n">
        <x:v>0</x:v>
      </x:c>
      <x:c r="G41" s="14" t="n">
        <x:f>IFERROR((H41-MIN($H$5:$H$65)+0.5)/(SUM($H$5:$H$65)-COUNT($H$5:$H$65)*MIN($H$5:$H$65)+0.5*COUNT($H$5:$H$65))*100,"")</x:f>
        <x:v>1.498621966862085</x:v>
      </x:c>
      <x:c r="H41" s="14" t="n">
        <x:f>$C$2*2*(N41/10)+$E$2*S41+$G$2*Y41+$I$2*AE41+$K$2*AJ41</x:f>
        <x:v>0.23657411771974654</x:v>
      </x:c>
      <x:c r="I41" s="14" t="n">
        <x:f>$C$2*2*(N41/10)</x:f>
        <x:v>0.396</x:v>
      </x:c>
      <x:c r="J41" s="14" t="n">
        <x:f>$E$2*S41</x:f>
        <x:v>0.11326340617092459</x:v>
      </x:c>
      <x:c r="K41" s="14" t="n">
        <x:f>$G$2*Y41</x:f>
        <x:v>-0.07619756529608683</x:v>
      </x:c>
      <x:c r="L41" s="14" t="n">
        <x:f>$I$2*AE41</x:f>
        <x:v>-0.1964917231550912</x:v>
      </x:c>
      <x:c r="M41" s="14" t="n">
        <x:f>$K$2*AJ41</x:f>
        <x:v>0</x:v>
      </x:c>
      <x:c r="N41" s="15" t="n">
        <x:v>9</x:v>
      </x:c>
      <x:c r="O41" s="15" t="n">
        <x:v>63.770250368188506</x:v>
      </x:c>
      <x:c r="P41" s="15" t="n">
        <x:v>39.02139048255927</x:v>
      </x:c>
      <x:c r="Q41" s="14" t="n">
        <x:f>IFERROR((O41-AVERAGE($O$5:$O$65))/STDEV.P($O$5:$O$65),0)</x:f>
        <x:v>0.4763467486281439</x:v>
      </x:c>
      <x:c r="R41" s="14" t="n">
        <x:f>IFERROR((P41-AVERAGE($P$5:$P$65))/STDEV.P($P$5:$P$65),0)</x:f>
        <x:v>0.7334046978466555</x:v>
      </x:c>
      <x:c r="S41" s="14" t="n">
        <x:f>0.65*Q41+0.35*R41</x:f>
        <x:v>0.5663170308546229</x:v>
      </x:c>
      <x:c r="T41" s="15" t="n">
        <x:v>42.89</x:v>
      </x:c>
      <x:c r="U41" s="15" t="n">
        <x:v>14.41</x:v>
      </x:c>
      <x:c r="V41" s="15" t="n">
        <x:v>14.41</x:v>
      </x:c>
      <x:c r="W41" s="14" t="n">
        <x:f>IFERROR((T41-AVERAGE($T$5:$T$65))/STDEV.P($T$5:$T$65),0)</x:f>
        <x:v>-0.4243574083364499</x:v>
      </x:c>
      <x:c r="X41" s="14" t="n">
        <x:f>IFERROR((V41-AVERAGE($V$5:$V$65))/STDEV.P($V$5:$V$65),0)</x:f>
        <x:v>-0.31593345369641046</x:v>
      </x:c>
      <x:c r="Y41" s="14" t="n">
        <x:f>0.6*W41+0.4*X41</x:f>
        <x:v>-0.3809878264804341</x:v>
      </x:c>
      <x:c r="Z41" s="15" t="n">
        <x:v>1073</x:v>
      </x:c>
      <x:c r="AA41" s="15" t="n">
        <x:v>-7.723</x:v>
      </x:c>
      <x:c r="AB41" s="15" t="n">
        <x:v>-17.36</x:v>
      </x:c>
      <x:c r="AC41" s="15" t="n">
        <x:v>-5.557</x:v>
      </x:c>
      <x:c r="AD41" s="14" t="n">
        <x:v>5.558340117281212</x:v>
      </x:c>
      <x:c r="AE41" s="14" t="n">
        <x:f>IFERROR((AD41-AVERAGE($AD$5:$AD$65))/STDEV.P($AD$5:$AD$65),0)</x:f>
        <x:v>-1.0916206841949512</x:v>
      </x:c>
      <x:c r="AF41" s="14" t="n">
        <x:f>-AH41+0.2*AG41</x:f>
        <x:v>-0.43366250000000006</x:v>
      </x:c>
      <x:c r="AG41" s="14" t="n">
        <x:f>IFERROR((AI41-AVERAGE($AI$5:$AI$65))/STDEV.P($AI$5:$AI$65),0)</x:f>
        <x:v>0</x:v>
      </x:c>
      <x:c r="AH41" s="14" t="n">
        <x:v>0.43366250000000006</x:v>
      </x:c>
      <x:c r="AI41" s="14"/>
      <x:c r="AJ41" s="14"/>
      <x:c r="AK41" s="13" t="str">
        <x:v>2026Q1</x:v>
      </x:c>
      <x:c r="AL41" s="13"/>
      <x:c r="AM41" s="13" t="str">
        <x:v>No</x:v>
      </x:c>
      <x:c r="AN41" s="10" t="str">
        <x:v>历史加速 39.0ppt / 无forecast不扣分</x:v>
      </x:c>
      <x:c r="AO41" s="10" t="str">
        <x:v>https://www.sec.gov/Archives/edgar/data/1868275/000186827526000067/0001868275-26-000067-index.html</x:v>
      </x:c>
      <x:c r="AP41" s="10" t="str">
        <x:v>CEG IR/SEC CY2026Q1: revenue $11.122B, gross profit $4.770B (revenue minus cost of revenue / purchased power and fuel $6.352B), net income $1.603B</x:v>
      </x:c>
    </x:row>
    <x:row r="42">
      <x:c r="A42" s="13" t="n">
        <x:v>38</x:v>
      </x:c>
      <x:c r="B42" s="13" t="str">
        <x:v>QCOM</x:v>
      </x:c>
      <x:c r="C42" s="13" t="str">
        <x:v>Qualcomm</x:v>
      </x:c>
      <x:c r="D42" s="13" t="str">
        <x:v>移动 SoC</x:v>
      </x:c>
      <x:c r="E42" s="13" t="str">
        <x:v>Watch</x:v>
      </x:c>
      <x:c r="F42" s="13" t="n">
        <x:v>0</x:v>
      </x:c>
      <x:c r="G42" s="14" t="n">
        <x:f>IFERROR((H42-MIN($H$5:$H$65)+0.5)/(SUM($H$5:$H$65)-COUNT($H$5:$H$65)*MIN($H$5:$H$65)+0.5*COUNT($H$5:$H$65))*100,"")</x:f>
        <x:v>1.8138628144927949</x:v>
      </x:c>
      <x:c r="H42" s="14" t="n">
        <x:f>$C$2*2*(N42/10)+$E$2*S42+$G$2*Y42+$I$2*AE42+$K$2*AJ42</x:f>
        <x:v>0.44667122884318045</x:v>
      </x:c>
      <x:c r="I42" s="14" t="n">
        <x:f>$C$2*2*(N42/10)</x:f>
        <x:v>0.264</x:v>
      </x:c>
      <x:c r="J42" s="14" t="n">
        <x:f>$E$2*S42</x:f>
        <x:v>-0.12459148753326793</x:v>
      </x:c>
      <x:c r="K42" s="14" t="n">
        <x:f>$G$2*Y42</x:f>
        <x:v>0.15468256517455348</x:v>
      </x:c>
      <x:c r="L42" s="14" t="n">
        <x:f>$I$2*AE42</x:f>
        <x:v>0.15258015120189491</x:v>
      </x:c>
      <x:c r="M42" s="14" t="n">
        <x:f>$K$2*AJ42</x:f>
        <x:v>0</x:v>
      </x:c>
      <x:c r="N42" s="15" t="n">
        <x:v>6</x:v>
      </x:c>
      <x:c r="O42" s="15" t="n">
        <x:v>-3.4608378870673917</x:v>
      </x:c>
      <x:c r="P42" s="15" t="n">
        <x:v>-1.74104483009608</x:v>
      </x:c>
      <x:c r="Q42" s="14" t="n">
        <x:f>IFERROR((O42-AVERAGE($O$5:$O$65))/STDEV.P($O$5:$O$65),0)</x:f>
        <x:v>-0.8753641244092734</x:v>
      </x:c>
      <x:c r="R42" s="14" t="n">
        <x:f>IFERROR((P42-AVERAGE($P$5:$P$65))/STDEV.P($P$5:$P$65),0)</x:f>
        <x:v>-0.15420216228660555</x:v>
      </x:c>
      <x:c r="S42" s="14" t="n">
        <x:f>0.65*Q42+0.35*R42</x:f>
        <x:v>-0.6229574376663396</x:v>
      </x:c>
      <x:c r="T42" s="15" t="n">
        <x:v>53.77</x:v>
      </x:c>
      <x:c r="U42" s="15" t="n">
        <x:v>69.53</x:v>
      </x:c>
      <x:c r="V42" s="15" t="n">
        <x:v>60</x:v>
      </x:c>
      <x:c r="W42" s="14" t="n">
        <x:f>IFERROR((T42-AVERAGE($T$5:$T$65))/STDEV.P($T$5:$T$65),0)</x:f>
        <x:v>0.0760824167545901</x:v>
      </x:c>
      <x:c r="X42" s="14" t="n">
        <x:f>IFERROR((V42-AVERAGE($V$5:$V$65))/STDEV.P($V$5:$V$65),0)</x:f>
        <x:v>1.819408439550033</x:v>
      </x:c>
      <x:c r="Y42" s="14" t="n">
        <x:f>0.6*W42+0.4*X42</x:f>
        <x:v>0.7734128258727673</x:v>
      </x:c>
      <x:c r="Z42" s="15" t="n">
        <x:v>2483</x:v>
      </x:c>
      <x:c r="AA42" s="15" t="n">
        <x:v>9.849</x:v>
      </x:c>
      <x:c r="AB42" s="15" t="n">
        <x:v>23.23</x:v>
      </x:c>
      <x:c r="AC42" s="15" t="n">
        <x:v>-9.291</x:v>
      </x:c>
      <x:c r="AD42" s="14" t="n">
        <x:v>10.082304842022072</x:v>
      </x:c>
      <x:c r="AE42" s="14" t="n">
        <x:f>IFERROR((AD42-AVERAGE($AD$5:$AD$65))/STDEV.P($AD$5:$AD$65),0)</x:f>
        <x:v>0.847667506677194</x:v>
      </x:c>
      <x:c r="AF42" s="14" t="n">
        <x:f>-AH42+0.2*AG42</x:f>
        <x:v>-1.0172000000000003</x:v>
      </x:c>
      <x:c r="AG42" s="14" t="n">
        <x:f>IFERROR((AI42-AVERAGE($AI$5:$AI$65))/STDEV.P($AI$5:$AI$65),0)</x:f>
        <x:v>0</x:v>
      </x:c>
      <x:c r="AH42" s="14" t="n">
        <x:v>1.0172000000000003</x:v>
      </x:c>
      <x:c r="AI42" s="14"/>
      <x:c r="AJ42" s="14"/>
      <x:c r="AK42" s="13" t="str">
        <x:v>2026Q1</x:v>
      </x:c>
      <x:c r="AL42" s="13" t="n">
        <x:v>96</x:v>
      </x:c>
      <x:c r="AM42" s="13" t="str">
        <x:v>Yes</x:v>
      </x:c>
      <x:c r="AN42" s="10" t="str">
        <x:v>历史加速 1.8ppt / 前瞻 -10.0ppt</x:v>
      </x:c>
      <x:c r="AO42" s="10" t="str">
        <x:v>https://www.sec.gov/Archives/edgar/data/804328/000080432826000061/0000804328-26-000061-index.html</x:v>
      </x:c>
      <x:c r="AP42" s="10" t="str">
        <x:v>SEC Companyfacts CY2026Q1: revenue $10.599B, gross profit $5.699B (revenue minus CostOfRevenue $4.900B), net income $7.370B</x:v>
      </x:c>
    </x:row>
    <x:row r="43">
      <x:c r="A43" s="13" t="n">
        <x:v>39</x:v>
      </x:c>
      <x:c r="B43" s="13" t="str">
        <x:v>GEV</x:v>
      </x:c>
      <x:c r="C43" s="13" t="str">
        <x:v>GE Vernova</x:v>
      </x:c>
      <x:c r="D43" s="13" t="str">
        <x:v>电力设备</x:v>
      </x:c>
      <x:c r="E43" s="13" t="str">
        <x:v>Watch</x:v>
      </x:c>
      <x:c r="F43" s="13" t="n">
        <x:v>0</x:v>
      </x:c>
      <x:c r="G43" s="14" t="n">
        <x:f>IFERROR((H43-MIN($H$5:$H$65)+0.5)/(SUM($H$5:$H$65)-COUNT($H$5:$H$65)*MIN($H$5:$H$65)+0.5*COUNT($H$5:$H$65))*100,"")</x:f>
        <x:v>1.3650532536054198</x:v>
      </x:c>
      <x:c r="H43" s="14" t="n">
        <x:f>$C$2*2*(N43/10)+$E$2*S43+$G$2*Y43+$I$2*AE43+$K$2*AJ43</x:f>
        <x:v>0.14755519456111632</x:v>
      </x:c>
      <x:c r="I43" s="14" t="n">
        <x:f>$C$2*2*(N43/10)</x:f>
        <x:v>0.308</x:v>
      </x:c>
      <x:c r="J43" s="14" t="n">
        <x:f>$E$2*S43</x:f>
        <x:v>-0.09139470511103136</x:v>
      </x:c>
      <x:c r="K43" s="14" t="n">
        <x:f>$G$2*Y43</x:f>
        <x:v>-0.07128131591336127</x:v>
      </x:c>
      <x:c r="L43" s="14" t="n">
        <x:f>$I$2*AE43</x:f>
        <x:v>0.002231215585508975</x:v>
      </x:c>
      <x:c r="M43" s="14" t="n">
        <x:f>$K$2*AJ43</x:f>
        <x:v>0</x:v>
      </x:c>
      <x:c r="N43" s="15" t="n">
        <x:v>7</x:v>
      </x:c>
      <x:c r="O43" s="15" t="n">
        <x:v>16.313823163138252</x:v>
      </x:c>
      <x:c r="P43" s="15" t="n">
        <x:v>-13.870486147688032</x:v>
      </x:c>
      <x:c r="Q43" s="14" t="n">
        <x:f>IFERROR((O43-AVERAGE($O$5:$O$65))/STDEV.P($O$5:$O$65),0)</x:f>
        <x:v>-0.47778578608596284</x:v>
      </x:c>
      <x:c r="R43" s="14" t="n">
        <x:f>IFERROR((P43-AVERAGE($P$5:$P$65))/STDEV.P($P$5:$P$65),0)</x:f>
        <x:v>-0.4183221845693739</x:v>
      </x:c>
      <x:c r="S43" s="14" t="n">
        <x:f>0.65*Q43+0.35*R43</x:f>
        <x:v>-0.45697352555515675</x:v>
      </x:c>
      <x:c r="T43" s="15" t="n">
        <x:v>19.07</x:v>
      </x:c>
      <x:c r="U43" s="15" t="n">
        <x:v>50.81</x:v>
      </x:c>
      <x:c r="V43" s="15" t="n">
        <x:v>50.81</x:v>
      </x:c>
      <x:c r="W43" s="14" t="n">
        <x:f>IFERROR((T43-AVERAGE($T$5:$T$65))/STDEV.P($T$5:$T$65),0)</x:f>
        <x:v>-1.5199894518721642</x:v>
      </x:c>
      <x:c r="X43" s="14" t="n">
        <x:f>IFERROR((V43-AVERAGE($V$5:$V$65))/STDEV.P($V$5:$V$65),0)</x:f>
        <x:v>1.38896772889123</x:v>
      </x:c>
      <x:c r="Y43" s="14" t="n">
        <x:f>0.6*W43+0.4*X43</x:f>
        <x:v>-0.3564065795668063</x:v>
      </x:c>
      <x:c r="Z43" s="15" t="n">
        <x:v>2903</x:v>
      </x:c>
      <x:c r="AA43" s="15" t="n">
        <x:v>0.442</x:v>
      </x:c>
      <x:c r="AB43" s="15" t="n">
        <x:v>1.18</x:v>
      </x:c>
      <x:c r="AC43" s="15"/>
      <x:c r="AD43" s="14" t="n">
        <x:v>8.133785551019926</x:v>
      </x:c>
      <x:c r="AE43" s="14" t="n">
        <x:f>IFERROR((AD43-AVERAGE($AD$5:$AD$65))/STDEV.P($AD$5:$AD$65),0)</x:f>
        <x:v>0.012395642141716528</x:v>
      </x:c>
      <x:c r="AF43" s="14" t="n">
        <x:f>-AH43+0.2*AG43</x:f>
        <x:v>-0.497275</x:v>
      </x:c>
      <x:c r="AG43" s="14" t="n">
        <x:f>IFERROR((AI43-AVERAGE($AI$5:$AI$65))/STDEV.P($AI$5:$AI$65),0)</x:f>
        <x:v>0</x:v>
      </x:c>
      <x:c r="AH43" s="14" t="n">
        <x:v>0.497275</x:v>
      </x:c>
      <x:c r="AI43" s="14"/>
      <x:c r="AJ43" s="14"/>
      <x:c r="AK43" s="13" t="str">
        <x:v>2026Q1</x:v>
      </x:c>
      <x:c r="AL43" s="13"/>
      <x:c r="AM43" s="13" t="str">
        <x:v>No</x:v>
      </x:c>
      <x:c r="AN43" s="10" t="str">
        <x:v>历史加速 -13.9ppt / 无forecast不扣分</x:v>
      </x:c>
      <x:c r="AO43" s="10" t="str">
        <x:v>https://www.sec.gov/Archives/edgar/data/1996810/000199681026000064/0001996810-26-000064-index.html</x:v>
      </x:c>
      <x:c r="AP43" s="10" t="str">
        <x:v>SEC Companyfacts CY2026Q1: revenue $9.339B, gross profit $1.781B, net income $4.745B</x:v>
      </x:c>
    </x:row>
    <x:row r="44">
      <x:c r="A44" s="13" t="n">
        <x:v>40</x:v>
      </x:c>
      <x:c r="B44" s="13" t="str">
        <x:v>TT</x:v>
      </x:c>
      <x:c r="C44" s="13" t="str">
        <x:v>Trane Technologies</x:v>
      </x:c>
      <x:c r="D44" s="13" t="str">
        <x:v>暖通设备</x:v>
      </x:c>
      <x:c r="E44" s="13" t="str">
        <x:v>Watch</x:v>
      </x:c>
      <x:c r="F44" s="13" t="n">
        <x:v>0</x:v>
      </x:c>
      <x:c r="G44" s="14" t="n">
        <x:f>IFERROR((H44-MIN($H$5:$H$65)+0.5)/(SUM($H$5:$H$65)-COUNT($H$5:$H$65)*MIN($H$5:$H$65)+0.5*COUNT($H$5:$H$65))*100,"")</x:f>
        <x:v>1.2138948605543471</x:v>
      </x:c>
      <x:c r="H44" s="14" t="n">
        <x:f>$C$2*2*(N44/10)+$E$2*S44+$G$2*Y44+$I$2*AE44+$K$2*AJ44</x:f>
        <x:v>0.04681335878451074</x:v>
      </x:c>
      <x:c r="I44" s="14" t="n">
        <x:f>$C$2*2*(N44/10)</x:f>
        <x:v>0.308</x:v>
      </x:c>
      <x:c r="J44" s="14" t="n">
        <x:f>$E$2*S44</x:f>
        <x:v>-0.12486755867443695</x:v>
      </x:c>
      <x:c r="K44" s="14" t="n">
        <x:f>$G$2*Y44</x:f>
        <x:v>-0.130571307972128</x:v>
      </x:c>
      <x:c r="L44" s="14" t="n">
        <x:f>$I$2*AE44</x:f>
        <x:v>-0.005747774568924327</x:v>
      </x:c>
      <x:c r="M44" s="14" t="n">
        <x:f>$K$2*AJ44</x:f>
        <x:v>0</x:v>
      </x:c>
      <x:c r="N44" s="15" t="n">
        <x:v>7</x:v>
      </x:c>
      <x:c r="O44" s="15" t="n">
        <x:v>5.9701492537313605</x:v>
      </x:c>
      <x:c r="P44" s="15" t="n">
        <x:v>-18.09386047140089</x:v>
      </x:c>
      <x:c r="Q44" s="14" t="n">
        <x:f>IFERROR((O44-AVERAGE($O$5:$O$65))/STDEV.P($O$5:$O$65),0)</x:f>
        <x:v>-0.6857499415584232</x:v>
      </x:c>
      <x:c r="R44" s="14" t="n">
        <x:f>IFERROR((P44-AVERAGE($P$5:$P$65))/STDEV.P($P$5:$P$65),0)</x:f>
        <x:v>-0.5102866610263134</x:v>
      </x:c>
      <x:c r="S44" s="14" t="n">
        <x:f>0.65*Q44+0.35*R44</x:f>
        <x:v>-0.6243377933721848</x:v>
      </x:c>
      <x:c r="T44" s="15" t="n">
        <x:v>34.77</x:v>
      </x:c>
      <x:c r="U44" s="15" t="n">
        <x:v>11.86</x:v>
      </x:c>
      <x:c r="V44" s="15" t="n">
        <x:v>11.86</x:v>
      </x:c>
      <x:c r="W44" s="14" t="n">
        <x:f>IFERROR((T44-AVERAGE($T$5:$T$65))/STDEV.P($T$5:$T$65),0)</x:f>
        <x:v>-0.7978474248566009</x:v>
      </x:c>
      <x:c r="X44" s="14" t="n">
        <x:f>IFERROR((V44-AVERAGE($V$5:$V$65))/STDEV.P($V$5:$V$65),0)</x:f>
        <x:v>-0.4353702123666985</x:v>
      </x:c>
      <x:c r="Y44" s="14" t="n">
        <x:f>0.6*W44+0.4*X44</x:f>
        <x:v>-0.65285653986064</x:v>
      </x:c>
      <x:c r="Z44" s="15" t="n">
        <x:v>1100</x:v>
      </x:c>
      <x:c r="AA44" s="15" t="n">
        <x:v>2.089</x:v>
      </x:c>
      <x:c r="AB44" s="15" t="n">
        <x:v>10.51</x:v>
      </x:c>
      <x:c r="AC44" s="15" t="n">
        <x:v>-3.025</x:v>
      </x:c>
      <x:c r="AD44" s="14" t="n">
        <x:v>8.030377993295021</x:v>
      </x:c>
      <x:c r="AE44" s="14" t="n">
        <x:f>IFERROR((AD44-AVERAGE($AD$5:$AD$65))/STDEV.P($AD$5:$AD$65),0)</x:f>
        <x:v>-0.031932080938468485</x:v>
      </x:c>
      <x:c r="AF44" s="14" t="n">
        <x:f>-AH44+0.2*AG44</x:f>
        <x:v>-0.2224</x:v>
      </x:c>
      <x:c r="AG44" s="14" t="n">
        <x:f>IFERROR((AI44-AVERAGE($AI$5:$AI$65))/STDEV.P($AI$5:$AI$65),0)</x:f>
        <x:v>0</x:v>
      </x:c>
      <x:c r="AH44" s="14" t="n">
        <x:v>0.2224</x:v>
      </x:c>
      <x:c r="AI44" s="14"/>
      <x:c r="AJ44" s="14"/>
      <x:c r="AK44" s="13" t="str">
        <x:v>2026Q1</x:v>
      </x:c>
      <x:c r="AL44" s="13"/>
      <x:c r="AM44" s="13" t="str">
        <x:v>No</x:v>
      </x:c>
      <x:c r="AN44" s="10" t="str">
        <x:v>历史加速 -18.1ppt / 无forecast不扣分</x:v>
      </x:c>
      <x:c r="AO44" s="10" t="str">
        <x:v>https://www.sec.gov/Archives/edgar/data/1466258/000162828026028743/0001628280-26-028743-index.html</x:v>
      </x:c>
      <x:c r="AP44" s="10" t="str">
        <x:v>SEC Companyfacts CY2026Q1: revenue $4.969B, gross profit $1.728B (revenue minus CostOfGoodsAndServicesSold $3.241B), net income $0.590B</x:v>
      </x:c>
    </x:row>
    <x:row r="45">
      <x:c r="A45" s="13" t="n">
        <x:v>41</x:v>
      </x:c>
      <x:c r="B45" s="13" t="str">
        <x:v>LITE</x:v>
      </x:c>
      <x:c r="C45" s="13" t="str">
        <x:v>Lumentum</x:v>
      </x:c>
      <x:c r="D45" s="13" t="str">
        <x:v>光模块</x:v>
      </x:c>
      <x:c r="E45" s="13" t="str">
        <x:v>Watch</x:v>
      </x:c>
      <x:c r="F45" s="13" t="n">
        <x:v>0</x:v>
      </x:c>
      <x:c r="G45" s="14" t="n">
        <x:f>IFERROR((H45-MIN($H$5:$H$65)+0.5)/(SUM($H$5:$H$65)-COUNT($H$5:$H$65)*MIN($H$5:$H$65)+0.5*COUNT($H$5:$H$65))*100,"")</x:f>
        <x:v>1.55167917172786</x:v>
      </x:c>
      <x:c r="H45" s="14" t="n">
        <x:f>$C$2*2*(N45/10)+$E$2*S45+$G$2*Y45+$I$2*AE45+$K$2*AJ45</x:f>
        <x:v>0.271934907891336</x:v>
      </x:c>
      <x:c r="I45" s="14" t="n">
        <x:f>$C$2*2*(N45/10)</x:f>
        <x:v>0.308</x:v>
      </x:c>
      <x:c r="J45" s="14" t="n">
        <x:f>$E$2*S45</x:f>
        <x:v>0.13062835717144589</x:v>
      </x:c>
      <x:c r="K45" s="14" t="n">
        <x:f>$G$2*Y45</x:f>
        <x:v>-0.056335396048401515</x:v>
      </x:c>
      <x:c r="L45" s="14" t="n">
        <x:f>$I$2*AE45</x:f>
        <x:v>-0.11035805323170836</x:v>
      </x:c>
      <x:c r="M45" s="14" t="n">
        <x:f>$K$2*AJ45</x:f>
        <x:v>0</x:v>
      </x:c>
      <x:c r="N45" s="15" t="n">
        <x:v>7</x:v>
      </x:c>
      <x:c r="O45" s="15" t="n">
        <x:v>88.37209302325581</x:v>
      </x:c>
      <x:c r="P45" s="15" t="n">
        <x:v>8.228004051824152</x:v>
      </x:c>
      <x:c r="Q45" s="14" t="n">
        <x:f>IFERROR((O45-AVERAGE($O$5:$O$65))/STDEV.P($O$5:$O$65),0)</x:f>
        <x:v>0.9709777158877059</x:v>
      </x:c>
      <x:c r="R45" s="14" t="n">
        <x:f>IFERROR((P45-AVERAGE($P$5:$P$65))/STDEV.P($P$5:$P$65),0)</x:f>
        <x:v>0.06287505865777279</x:v>
      </x:c>
      <x:c r="S45" s="14" t="n">
        <x:f>0.65*Q45+0.35*R45</x:f>
        <x:v>0.6531417858572294</x:v>
      </x:c>
      <x:c r="T45" s="15" t="n">
        <x:v>44.16</x:v>
      </x:c>
      <x:c r="U45" s="15" t="n">
        <x:v>17.84</x:v>
      </x:c>
      <x:c r="V45" s="15" t="n">
        <x:v>17.84</x:v>
      </x:c>
      <x:c r="W45" s="14" t="n">
        <x:f>IFERROR((T45-AVERAGE($T$5:$T$65))/STDEV.P($T$5:$T$65),0)</x:f>
        <x:v>-0.36594209787085996</x:v>
      </x:c>
      <x:c r="X45" s="14" t="n">
        <x:f>IFERROR((V45-AVERAGE($V$5:$V$65))/STDEV.P($V$5:$V$65),0)</x:f>
        <x:v>-0.15527930379872895</x:v>
      </x:c>
      <x:c r="Y45" s="14" t="n">
        <x:f>0.6*W45+0.4*X45</x:f>
        <x:v>-0.28167698024200755</x:v>
      </x:c>
      <x:c r="Z45" s="15" t="n">
        <x:v>703</x:v>
      </x:c>
      <x:c r="AA45" s="15" t="n">
        <x:v>0.051</x:v>
      </x:c>
      <x:c r="AB45" s="15" t="n">
        <x:v>1.58</x:v>
      </x:c>
      <x:c r="AC45" s="15" t="n">
        <x:v>-1.884</x:v>
      </x:c>
      <x:c r="AD45" s="14" t="n">
        <x:v>6.674630809745757</x:v>
      </x:c>
      <x:c r="AE45" s="14" t="n">
        <x:f>IFERROR((AD45-AVERAGE($AD$5:$AD$65))/STDEV.P($AD$5:$AD$65),0)</x:f>
        <x:v>-0.6131002957317131</x:v>
      </x:c>
      <x:c r="AF45" s="14" t="n">
        <x:f>-AH45+0.2*AG45</x:f>
        <x:v>-1.1210005813953487</x:v>
      </x:c>
      <x:c r="AG45" s="14" t="n">
        <x:f>IFERROR((AI45-AVERAGE($AI$5:$AI$65))/STDEV.P($AI$5:$AI$65),0)</x:f>
        <x:v>0</x:v>
      </x:c>
      <x:c r="AH45" s="14" t="n">
        <x:v>1.1210005813953487</x:v>
      </x:c>
      <x:c r="AI45" s="14"/>
      <x:c r="AJ45" s="14"/>
      <x:c r="AK45" s="13" t="str">
        <x:v>2026Q1</x:v>
      </x:c>
      <x:c r="AL45" s="13" t="n">
        <x:v>9.85</x:v>
      </x:c>
      <x:c r="AM45" s="13" t="str">
        <x:v>Yes</x:v>
      </x:c>
      <x:c r="AN45" s="10" t="str">
        <x:v>历史加速 12.6ppt / 前瞻 -2.1ppt</x:v>
      </x:c>
      <x:c r="AO45" s="10" t="str">
        <x:v>https://investor.lumentum.com/financial-news-releases/news-details/2026/Lumentum-Announces-Third-Quarter-of-Fiscal-Year-2026-Financial-Results/default.aspx</x:v>
      </x:c>
      <x:c r="AP45" s="10" t="str">
        <x:v>Lumentum FY2026 Q3 ended Mar 28 2026 official results: net revenue $808.4M, GAAP gross profit $357.0M, GAAP net income $144.2M; mapped to 2026Q1 by period end date.</x:v>
      </x:c>
    </x:row>
    <x:row r="46">
      <x:c r="A46" s="13" t="n">
        <x:v>42</x:v>
      </x:c>
      <x:c r="B46" s="13" t="str">
        <x:v>HUBB</x:v>
      </x:c>
      <x:c r="C46" s="13" t="str">
        <x:v>Hubbell</x:v>
      </x:c>
      <x:c r="D46" s="13" t="str">
        <x:v>电气连接</x:v>
      </x:c>
      <x:c r="E46" s="13" t="str">
        <x:v>Watch</x:v>
      </x:c>
      <x:c r="F46" s="13" t="n">
        <x:v>0</x:v>
      </x:c>
      <x:c r="G46" s="14" t="n">
        <x:f>IFERROR((H46-MIN($H$5:$H$65)+0.5)/(SUM($H$5:$H$65)-COUNT($H$5:$H$65)*MIN($H$5:$H$65)+0.5*COUNT($H$5:$H$65))*100,"")</x:f>
        <x:v>1.081361208882747</x:v>
      </x:c>
      <x:c r="H46" s="14" t="n">
        <x:f>$C$2*2*(N46/10)+$E$2*S46+$G$2*Y46+$I$2*AE46+$K$2*AJ46</x:f>
        <x:v>-0.04151573166211096</x:v>
      </x:c>
      <x:c r="I46" s="14" t="n">
        <x:f>$C$2*2*(N46/10)</x:f>
        <x:v>0.308</x:v>
      </x:c>
      <x:c r="J46" s="14" t="n">
        <x:f>$E$2*S46</x:f>
        <x:v>-0.09039761645352656</x:v>
      </x:c>
      <x:c r="K46" s="14" t="n">
        <x:f>$G$2*Y46</x:f>
        <x:v>-0.1380875508453919</x:v>
      </x:c>
      <x:c r="L46" s="14" t="n">
        <x:f>$I$2*AE46</x:f>
        <x:v>-0.1210305643631925</x:v>
      </x:c>
      <x:c r="M46" s="14" t="n">
        <x:f>$K$2*AJ46</x:f>
        <x:v>0</x:v>
      </x:c>
      <x:c r="N46" s="15" t="n">
        <x:v>7</x:v>
      </x:c>
      <x:c r="O46" s="15" t="n">
        <x:v>10.948905109489049</x:v>
      </x:c>
      <x:c r="P46" s="15" t="n">
        <x:v>-4.016896139759018</x:v>
      </x:c>
      <x:c r="Q46" s="14" t="n">
        <x:f>IFERROR((O46-AVERAGE($O$5:$O$65))/STDEV.P($O$5:$O$65),0)</x:f>
        <x:v>-0.5856498450245811</x:v>
      </x:c>
      <x:c r="R46" s="14" t="n">
        <x:f>IFERROR((P46-AVERAGE($P$5:$P$65))/STDEV.P($P$5:$P$65),0)</x:f>
        <x:v>-0.20375909429044312</x:v>
      </x:c>
      <x:c r="S46" s="14" t="n">
        <x:f>0.65*Q46+0.35*R46</x:f>
        <x:v>-0.45198808226763276</x:v>
      </x:c>
      <x:c r="T46" s="15" t="n">
        <x:v>33.32</x:v>
      </x:c>
      <x:c r="U46" s="15" t="n">
        <x:v>11.99</x:v>
      </x:c>
      <x:c r="V46" s="15" t="n">
        <x:v>11.99</x:v>
      </x:c>
      <x:c r="W46" s="14" t="n">
        <x:f>IFERROR((T46-AVERAGE($T$5:$T$65))/STDEV.P($T$5:$T$65),0)</x:f>
        <x:v>-0.8645420706637709</x:v>
      </x:c>
      <x:c r="X46" s="14" t="n">
        <x:f>IFERROR((V46-AVERAGE($V$5:$V$65))/STDEV.P($V$5:$V$65),0)</x:f>
        <x:v>-0.42928127957174256</x:v>
      </x:c>
      <x:c r="Y46" s="14" t="n">
        <x:f>0.6*W46+0.4*X46</x:f>
        <x:v>-0.6904377542269595</x:v>
      </x:c>
      <x:c r="Z46" s="15" t="n">
        <x:v>250</x:v>
      </x:c>
      <x:c r="AA46" s="15" t="n">
        <x:v>0.715</x:v>
      </x:c>
      <x:c r="AB46" s="15" t="n">
        <x:v>11.76</x:v>
      </x:c>
      <x:c r="AC46" s="15" t="n">
        <x:v>-0.96</x:v>
      </x:c>
      <x:c r="AD46" s="14" t="n">
        <x:v>6.536315272373469</x:v>
      </x:c>
      <x:c r="AE46" s="14" t="n">
        <x:f>IFERROR((AD46-AVERAGE($AD$5:$AD$65))/STDEV.P($AD$5:$AD$65),0)</x:f>
        <x:v>-0.6723920242399584</x:v>
      </x:c>
      <x:c r="AF46" s="14" t="n">
        <x:f>-AH46+0.2*AG46</x:f>
        <x:v>-0.2</x:v>
      </x:c>
      <x:c r="AG46" s="14" t="n">
        <x:f>IFERROR((AI46-AVERAGE($AI$5:$AI$65))/STDEV.P($AI$5:$AI$65),0)</x:f>
        <x:v>0</x:v>
      </x:c>
      <x:c r="AH46" s="14" t="n">
        <x:v>0.2</x:v>
      </x:c>
      <x:c r="AI46" s="14"/>
      <x:c r="AJ46" s="14"/>
      <x:c r="AK46" s="13" t="str">
        <x:v>2026Q1</x:v>
      </x:c>
      <x:c r="AL46" s="13"/>
      <x:c r="AM46" s="13" t="str">
        <x:v>No</x:v>
      </x:c>
      <x:c r="AN46" s="10" t="str">
        <x:v>历史加速 -4.0ppt / 无forecast不扣分</x:v>
      </x:c>
      <x:c r="AO46" s="10" t="str">
        <x:v>https://www.sec.gov/Archives/edgar/data/48898/000162828026029110/0001628280-26-029110-index.html</x:v>
      </x:c>
      <x:c r="AP46" s="10" t="str">
        <x:v>SEC Companyfacts CY2026Q1: revenue $1.517B, gross profit $0.505B, net income $0.182B</x:v>
      </x:c>
    </x:row>
    <x:row r="47">
      <x:c r="A47" s="13" t="n">
        <x:v>43</x:v>
      </x:c>
      <x:c r="B47" s="13" t="str">
        <x:v>GLW</x:v>
      </x:c>
      <x:c r="C47" s="13" t="str">
        <x:v>Corning</x:v>
      </x:c>
      <x:c r="D47" s="13" t="str">
        <x:v>光纤/玻璃</x:v>
      </x:c>
      <x:c r="E47" s="13" t="str">
        <x:v>Watch</x:v>
      </x:c>
      <x:c r="F47" s="13" t="n">
        <x:v>0</x:v>
      </x:c>
      <x:c r="G47" s="14" t="n">
        <x:f>IFERROR((H47-MIN($H$5:$H$65)+0.5)/(SUM($H$5:$H$65)-COUNT($H$5:$H$65)*MIN($H$5:$H$65)+0.5*COUNT($H$5:$H$65))*100,"")</x:f>
        <x:v>1.2161900920892657</x:v>
      </x:c>
      <x:c r="H47" s="14" t="n">
        <x:f>$C$2*2*(N47/10)+$E$2*S47+$G$2*Y47+$I$2*AE47+$K$2*AJ47</x:f>
        <x:v>0.04834305114027636</x:v>
      </x:c>
      <x:c r="I47" s="14" t="n">
        <x:f>$C$2*2*(N47/10)</x:f>
        <x:v>0.308</x:v>
      </x:c>
      <x:c r="J47" s="14" t="n">
        <x:f>$E$2*S47</x:f>
        <x:v>-0.06488310594287015</x:v>
      </x:c>
      <x:c r="K47" s="14" t="n">
        <x:f>$G$2*Y47</x:f>
        <x:v>-0.12651177998183105</x:v>
      </x:c>
      <x:c r="L47" s="14" t="n">
        <x:f>$I$2*AE47</x:f>
        <x:v>-0.06826206293502242</x:v>
      </x:c>
      <x:c r="M47" s="14" t="n">
        <x:f>$K$2*AJ47</x:f>
        <x:v>0</x:v>
      </x:c>
      <x:c r="N47" s="15" t="n">
        <x:v>7</x:v>
      </x:c>
      <x:c r="O47" s="15" t="n">
        <x:v>19.999999999999996</x:v>
      </x:c>
      <x:c r="P47" s="15" t="n">
        <x:v>-2.7982089614728545</x:v>
      </x:c>
      <x:c r="Q47" s="14" t="n">
        <x:f>IFERROR((O47-AVERAGE($O$5:$O$65))/STDEV.P($O$5:$O$65),0)</x:f>
        <x:v>-0.4036735644987246</x:v>
      </x:c>
      <x:c r="R47" s="14" t="n">
        <x:f>IFERROR((P47-AVERAGE($P$5:$P$65))/STDEV.P($P$5:$P$65),0)</x:f>
        <x:v>-0.17722203654337057</x:v>
      </x:c>
      <x:c r="S47" s="14" t="n">
        <x:f>0.65*Q47+0.35*R47</x:f>
        <x:v>-0.3244155297143507</x:v>
      </x:c>
      <x:c r="T47" s="15" t="n">
        <x:v>36.87</x:v>
      </x:c>
      <x:c r="U47" s="15" t="n">
        <x:v>9.85</x:v>
      </x:c>
      <x:c r="V47" s="15" t="n">
        <x:v>9.85</x:v>
      </x:c>
      <x:c r="W47" s="14" t="n">
        <x:f>IFERROR((T47-AVERAGE($T$5:$T$65))/STDEV.P($T$5:$T$65),0)</x:f>
        <x:v>-0.7012551792048379</x:v>
      </x:c>
      <x:c r="X47" s="14" t="n">
        <x:f>IFERROR((V47-AVERAGE($V$5:$V$65))/STDEV.P($V$5:$V$65),0)</x:f>
        <x:v>-0.5295144809656314</x:v>
      </x:c>
      <x:c r="Y47" s="14" t="n">
        <x:f>0.6*W47+0.4*X47</x:f>
        <x:v>-0.6325588999091553</x:v>
      </x:c>
      <x:c r="Z47" s="15" t="n">
        <x:v>600</x:v>
      </x:c>
      <x:c r="AA47" s="15" t="n">
        <x:v>1.4</x:v>
      </x:c>
      <x:c r="AB47" s="15" t="n">
        <x:v>8.45</x:v>
      </x:c>
      <x:c r="AC47" s="15" t="n">
        <x:v>-1.032</x:v>
      </x:c>
      <x:c r="AD47" s="14" t="n">
        <x:v>7.220194027939848</x:v>
      </x:c>
      <x:c r="AE47" s="14" t="n">
        <x:f>IFERROR((AD47-AVERAGE($AD$5:$AD$65))/STDEV.P($AD$5:$AD$65),0)</x:f>
        <x:v>-0.3792336829723468</x:v>
      </x:c>
      <x:c r="AF47" s="14" t="n">
        <x:f>-AH47+0.2*AG47</x:f>
        <x:v>-0.45</x:v>
      </x:c>
      <x:c r="AG47" s="14" t="n">
        <x:f>IFERROR((AI47-AVERAGE($AI$5:$AI$65))/STDEV.P($AI$5:$AI$65),0)</x:f>
        <x:v>0</x:v>
      </x:c>
      <x:c r="AH47" s="14" t="n">
        <x:v>0.45</x:v>
      </x:c>
      <x:c r="AI47" s="14"/>
      <x:c r="AJ47" s="14"/>
      <x:c r="AK47" s="13" t="str">
        <x:v>2026Q1</x:v>
      </x:c>
      <x:c r="AL47" s="13" t="n">
        <x:v>46</x:v>
      </x:c>
      <x:c r="AM47" s="13" t="str">
        <x:v>Yes</x:v>
      </x:c>
      <x:c r="AN47" s="10" t="str">
        <x:v>历史加速 -8.5ppt / 前瞻 10.6ppt</x:v>
      </x:c>
      <x:c r="AO47" s="10" t="str">
        <x:v>https://www.sec.gov/Archives/edgar/data/24741/000002474126000205/0000024741-26-000205-index.html</x:v>
      </x:c>
      <x:c r="AP47" s="10" t="str">
        <x:v>SEC Companyfacts CY2026Q1: revenue $4.144B, gross profit $1.528B, net income $0.408B</x:v>
      </x:c>
    </x:row>
    <x:row r="48">
      <x:c r="A48" s="13" t="n">
        <x:v>44</x:v>
      </x:c>
      <x:c r="B48" s="13" t="str">
        <x:v>JCI</x:v>
      </x:c>
      <x:c r="C48" s="13" t="str">
        <x:v>Johnson Controls</x:v>
      </x:c>
      <x:c r="D48" s="13" t="str">
        <x:v>楼宇/暖通</x:v>
      </x:c>
      <x:c r="E48" s="13" t="str">
        <x:v>Watch</x:v>
      </x:c>
      <x:c r="F48" s="13" t="n">
        <x:v>0</x:v>
      </x:c>
      <x:c r="G48" s="14" t="n">
        <x:f>IFERROR((H48-MIN($H$5:$H$65)+0.5)/(SUM($H$5:$H$65)-COUNT($H$5:$H$65)*MIN($H$5:$H$65)+0.5*COUNT($H$5:$H$65))*100,"")</x:f>
        <x:v>1.0903995152871737</x:v>
      </x:c>
      <x:c r="H48" s="14" t="n">
        <x:f>$C$2*2*(N48/10)+$E$2*S48+$G$2*Y48+$I$2*AE48+$K$2*AJ48</x:f>
        <x:v>-0.03549201335501195</x:v>
      </x:c>
      <x:c r="I48" s="14" t="n">
        <x:f>$C$2*2*(N48/10)</x:f>
        <x:v>0.264</x:v>
      </x:c>
      <x:c r="J48" s="14" t="n">
        <x:f>$E$2*S48</x:f>
        <x:v>-0.09586361008192276</x:v>
      </x:c>
      <x:c r="K48" s="14" t="n">
        <x:f>$G$2*Y48</x:f>
        <x:v>-0.12624544763401005</x:v>
      </x:c>
      <x:c r="L48" s="14" t="n">
        <x:f>$I$2*AE48</x:f>
        <x:v>-0.07738295563907915</x:v>
      </x:c>
      <x:c r="M48" s="14" t="n">
        <x:f>$K$2*AJ48</x:f>
        <x:v>0</x:v>
      </x:c>
      <x:c r="N48" s="15" t="n">
        <x:v>6</x:v>
      </x:c>
      <x:c r="O48" s="15" t="n">
        <x:v>8.098591549295776</x:v>
      </x:c>
      <x:c r="P48" s="15" t="n">
        <x:v>-2.7153497452475137</x:v>
      </x:c>
      <x:c r="Q48" s="14" t="n">
        <x:f>IFERROR((O48-AVERAGE($O$5:$O$65))/STDEV.P($O$5:$O$65),0)</x:f>
        <x:v>-0.642956664397359</x:v>
      </x:c>
      <x:c r="R48" s="14" t="n">
        <x:f>IFERROR((P48-AVERAGE($P$5:$P$65))/STDEV.P($P$5:$P$65),0)</x:f>
        <x:v>-0.17541776728951558</x:v>
      </x:c>
      <x:c r="S48" s="14" t="n">
        <x:f>0.65*Q48+0.35*R48</x:f>
        <x:v>-0.4793180504096138</x:v>
      </x:c>
      <x:c r="T48" s="15" t="n">
        <x:v>36.83</x:v>
      </x:c>
      <x:c r="U48" s="15" t="n">
        <x:v>9.98</x:v>
      </x:c>
      <x:c r="V48" s="15" t="n">
        <x:v>9.98</x:v>
      </x:c>
      <x:c r="W48" s="14" t="n">
        <x:f>IFERROR((T48-AVERAGE($T$5:$T$65))/STDEV.P($T$5:$T$65),0)</x:f>
        <x:v>-0.7030950315029667</x:v>
      </x:c>
      <x:c r="X48" s="14" t="n">
        <x:f>IFERROR((V48-AVERAGE($V$5:$V$65))/STDEV.P($V$5:$V$65),0)</x:f>
        <x:v>-0.5234255481706754</x:v>
      </x:c>
      <x:c r="Y48" s="14" t="n">
        <x:f>0.6*W48+0.4*X48</x:f>
        <x:v>-0.6312272381700502</x:v>
      </x:c>
      <x:c r="Z48" s="15" t="n">
        <x:v>700</x:v>
      </x:c>
      <x:c r="AA48" s="15" t="n">
        <x:v>1.41</x:v>
      </x:c>
      <x:c r="AB48" s="15" t="n">
        <x:v>5.74</x:v>
      </x:c>
      <x:c r="AC48" s="15" t="n">
        <x:v>-7.773</x:v>
      </x:c>
      <x:c r="AD48" s="14" t="n">
        <x:v>7.101987435308152</x:v>
      </x:c>
      <x:c r="AE48" s="14" t="n">
        <x:f>IFERROR((AD48-AVERAGE($AD$5:$AD$65))/STDEV.P($AD$5:$AD$65),0)</x:f>
        <x:v>-0.42990530910599534</x:v>
      </x:c>
      <x:c r="AF48" s="14" t="n">
        <x:f>-AH48+0.2*AG48</x:f>
        <x:v>-0.24401249999999997</x:v>
      </x:c>
      <x:c r="AG48" s="14" t="n">
        <x:f>IFERROR((AI48-AVERAGE($AI$5:$AI$65))/STDEV.P($AI$5:$AI$65),0)</x:f>
        <x:v>0</x:v>
      </x:c>
      <x:c r="AH48" s="14" t="n">
        <x:v>0.24401249999999997</x:v>
      </x:c>
      <x:c r="AI48" s="14"/>
      <x:c r="AJ48" s="14"/>
      <x:c r="AK48" s="13" t="str">
        <x:v>2026Q1</x:v>
      </x:c>
      <x:c r="AL48" s="13"/>
      <x:c r="AM48" s="13" t="str">
        <x:v>No</x:v>
      </x:c>
      <x:c r="AN48" s="10" t="str">
        <x:v>历史加速 -2.7ppt / 无forecast不扣分</x:v>
      </x:c>
      <x:c r="AO48" s="10" t="str">
        <x:v>https://www.sec.gov/Archives/edgar/data/833444/000083344426000050/0000833444-26-000050-index.html</x:v>
      </x:c>
      <x:c r="AP48" s="10" t="str">
        <x:v>SEC Companyfacts CY2026Q1: revenue $6.142B, gross profit $2.262B, net income $0.613B</x:v>
      </x:c>
    </x:row>
    <x:row r="49">
      <x:c r="A49" s="13" t="n">
        <x:v>45</x:v>
      </x:c>
      <x:c r="B49" s="13" t="str">
        <x:v>INTC</x:v>
      </x:c>
      <x:c r="C49" s="13" t="str">
        <x:v>Intel</x:v>
      </x:c>
      <x:c r="D49" s="13" t="str">
        <x:v>CPU/Foundry</x:v>
      </x:c>
      <x:c r="E49" s="13" t="str">
        <x:v>Watch</x:v>
      </x:c>
      <x:c r="F49" s="13" t="n">
        <x:v>0</x:v>
      </x:c>
      <x:c r="G49" s="14" t="n">
        <x:f>IFERROR((H49-MIN($H$5:$H$65)+0.5)/(SUM($H$5:$H$65)-COUNT($H$5:$H$65)*MIN($H$5:$H$65)+0.5*COUNT($H$5:$H$65))*100,"")</x:f>
        <x:v>1.0574205449287384</x:v>
      </x:c>
      <x:c r="H49" s="14" t="n">
        <x:f>$C$2*2*(N49/10)+$E$2*S49+$G$2*Y49+$I$2*AE49+$K$2*AJ49</x:f>
        <x:v>-0.057471355347676056</x:v>
      </x:c>
      <x:c r="I49" s="14" t="n">
        <x:f>$C$2*2*(N49/10)</x:f>
        <x:v>0.396</x:v>
      </x:c>
      <x:c r="J49" s="14" t="n">
        <x:f>$E$2*S49</x:f>
        <x:v>-0.09585280279230125</x:v>
      </x:c>
      <x:c r="K49" s="14" t="n">
        <x:f>$G$2*Y49</x:f>
        <x:v>-0.25141243911968814</x:v>
      </x:c>
      <x:c r="L49" s="14" t="n">
        <x:f>$I$2*AE49</x:f>
        <x:v>-0.1062061134356867</x:v>
      </x:c>
      <x:c r="M49" s="14" t="n">
        <x:f>$K$2*AJ49</x:f>
        <x:v>0</x:v>
      </x:c>
      <x:c r="N49" s="15" t="n">
        <x:v>9</x:v>
      </x:c>
      <x:c r="O49" s="15" t="n">
        <x:v>7.340173638516179</x:v>
      </x:c>
      <x:c r="P49" s="15" t="n">
        <x:v>-1.4077695060820437</x:v>
      </x:c>
      <x:c r="Q49" s="14" t="n">
        <x:f>IFERROR((O49-AVERAGE($O$5:$O$65))/STDEV.P($O$5:$O$65),0)</x:f>
        <x:v>-0.6582049931528727</x:v>
      </x:c>
      <x:c r="R49" s="14" t="n">
        <x:f>IFERROR((P49-AVERAGE($P$5:$P$65))/STDEV.P($P$5:$P$65),0)</x:f>
        <x:v>-0.14694505260611124</x:v>
      </x:c>
      <x:c r="S49" s="14" t="n">
        <x:f>0.65*Q49+0.35*R49</x:f>
        <x:v>-0.47926401396150625</x:v>
      </x:c>
      <x:c r="T49" s="15" t="n">
        <x:v>39.4</x:v>
      </x:c>
      <x:c r="U49" s="15" t="n">
        <x:v>-27.21</x:v>
      </x:c>
      <x:c r="V49" s="15" t="n">
        <x:v>-27.21</x:v>
      </x:c>
      <x:c r="W49" s="14" t="n">
        <x:f>IFERROR((T49-AVERAGE($T$5:$T$65))/STDEV.P($T$5:$T$65),0)</x:f>
        <x:v>-0.5848845213481898</x:v>
      </x:c>
      <x:c r="X49" s="14" t="n">
        <x:f>IFERROR((V49-AVERAGE($V$5:$V$65))/STDEV.P($V$5:$V$65),0)</x:f>
        <x:v>-2.265328706973817</x:v>
      </x:c>
      <x:c r="Y49" s="14" t="n">
        <x:f>0.6*W49+0.4*X49</x:f>
        <x:v>-1.2570621955984407</x:v>
      </x:c>
      <x:c r="Z49" s="15" t="n">
        <x:v>6387</x:v>
      </x:c>
      <x:c r="AA49" s="15" t="n">
        <x:v>-14.279</x:v>
      </x:c>
      <x:c r="AB49" s="15" t="n">
        <x:v>-26.25</x:v>
      </x:c>
      <x:c r="AC49" s="15" t="n">
        <x:v>-35.746</x:v>
      </x:c>
      <x:c r="AD49" s="14" t="n">
        <x:v>6.728439869014854</x:v>
      </x:c>
      <x:c r="AE49" s="14" t="n">
        <x:f>IFERROR((AD49-AVERAGE($AD$5:$AD$65))/STDEV.P($AD$5:$AD$65),0)</x:f>
        <x:v>-0.5900339635315928</x:v>
      </x:c>
      <x:c r="AF49" s="14" t="n">
        <x:f>-AH49+0.2*AG49</x:f>
        <x:v>-0.35</x:v>
      </x:c>
      <x:c r="AG49" s="14" t="n">
        <x:f>IFERROR((AI49-AVERAGE($AI$5:$AI$65))/STDEV.P($AI$5:$AI$65),0)</x:f>
        <x:v>0</x:v>
      </x:c>
      <x:c r="AH49" s="14" t="n">
        <x:v>0.35</x:v>
      </x:c>
      <x:c r="AI49" s="14"/>
      <x:c r="AJ49" s="14"/>
      <x:c r="AK49" s="13" t="str">
        <x:v>2026Q1</x:v>
      </x:c>
      <x:c r="AL49" s="13" t="n">
        <x:v>143</x:v>
      </x:c>
      <x:c r="AM49" s="13" t="str">
        <x:v>Yes</x:v>
      </x:c>
      <x:c r="AN49" s="10" t="str">
        <x:v>历史加速 -4.4ppt / 前瞻 5.5ppt</x:v>
      </x:c>
      <x:c r="AO49" s="10" t="str">
        <x:v>https://www.intc.com/news-events/press-releases/detail/1767/intel-reports-first-quarter-2026-financial-results</x:v>
      </x:c>
      <x:c r="AP49" s="10" t="str">
        <x:v>Q1 2026 ended Mar 28 2026: revenue $13.6B, GAAP gross margin 39.4%, GAAP net loss $3.7B; loss includes restructuring and other adjustments</x:v>
      </x:c>
    </x:row>
    <x:row r="50">
      <x:c r="A50" s="13" t="n">
        <x:v>46</x:v>
      </x:c>
      <x:c r="B50" s="13" t="str">
        <x:v>PWR</x:v>
      </x:c>
      <x:c r="C50" s="13" t="str">
        <x:v>Quanta Services</x:v>
      </x:c>
      <x:c r="D50" s="13" t="str">
        <x:v>电力 EPC</x:v>
      </x:c>
      <x:c r="E50" s="13" t="str">
        <x:v>Watch</x:v>
      </x:c>
      <x:c r="F50" s="13" t="n">
        <x:v>0</x:v>
      </x:c>
      <x:c r="G50" s="14" t="n">
        <x:f>IFERROR((H50-MIN($H$5:$H$65)+0.5)/(SUM($H$5:$H$65)-COUNT($H$5:$H$65)*MIN($H$5:$H$65)+0.5*COUNT($H$5:$H$65))*100,"")</x:f>
        <x:v>1.01770879288319</x:v>
      </x:c>
      <x:c r="H50" s="14" t="n">
        <x:f>$C$2*2*(N50/10)+$E$2*S50+$G$2*Y50+$I$2*AE50+$K$2*AJ50</x:f>
        <x:v>-0.08393786324196263</x:v>
      </x:c>
      <x:c r="I50" s="14" t="n">
        <x:f>$C$2*2*(N50/10)</x:f>
        <x:v>0.35200000000000004</x:v>
      </x:c>
      <x:c r="J50" s="14" t="n">
        <x:f>$E$2*S50</x:f>
        <x:v>-0.05798630913541556</x:v>
      </x:c>
      <x:c r="K50" s="14" t="n">
        <x:f>$G$2*Y50</x:f>
        <x:v>-0.2788294734839795</x:v>
      </x:c>
      <x:c r="L50" s="14" t="n">
        <x:f>$I$2*AE50</x:f>
        <x:v>-0.09912208062256757</x:v>
      </x:c>
      <x:c r="M50" s="14" t="n">
        <x:f>$K$2*AJ50</x:f>
        <x:v>0</x:v>
      </x:c>
      <x:c r="N50" s="15" t="n">
        <x:v>8</x:v>
      </x:c>
      <x:c r="O50" s="15" t="n">
        <x:v>26.32423756019262</x:v>
      </x:c>
      <x:c r="P50" s="15" t="n">
        <x:v>-9.117946019327295</x:v>
      </x:c>
      <x:c r="Q50" s="14" t="n">
        <x:f>IFERROR((O50-AVERAGE($O$5:$O$65))/STDEV.P($O$5:$O$65),0)</x:f>
        <x:v>-0.27652196104218374</x:v>
      </x:c>
      <x:c r="R50" s="14" t="n">
        <x:f>IFERROR((P50-AVERAGE($P$5:$P$65))/STDEV.P($P$5:$P$65),0)</x:f>
        <x:v>-0.31483505999902395</x:v>
      </x:c>
      <x:c r="S50" s="14" t="n">
        <x:f>0.65*Q50+0.35*R50</x:f>
        <x:v>-0.2899315456770778</x:v>
      </x:c>
      <x:c r="T50" s="15" t="n">
        <x:v>14.06</x:v>
      </x:c>
      <x:c r="U50" s="15" t="n">
        <x:v>2.8</x:v>
      </x:c>
      <x:c r="V50" s="15" t="n">
        <x:v>2.8</x:v>
      </x:c>
      <x:c r="W50" s="14" t="n">
        <x:f>IFERROR((T50-AVERAGE($T$5:$T$65))/STDEV.P($T$5:$T$65),0)</x:f>
        <x:v>-1.7504309522127992</x:v>
      </x:c>
      <x:c r="X50" s="14" t="n">
        <x:f>IFERROR((V50-AVERAGE($V$5:$V$65))/STDEV.P($V$5:$V$65),0)</x:f>
        <x:v>-0.8597219902305452</x:v>
      </x:c>
      <x:c r="Y50" s="14" t="n">
        <x:f>0.6*W50+0.4*X50</x:f>
        <x:v>-1.3941473674198976</x:v>
      </x:c>
      <x:c r="Z50" s="15" t="n">
        <x:v>600</x:v>
      </x:c>
      <x:c r="AA50" s="15" t="n">
        <x:v>1.141</x:v>
      </x:c>
      <x:c r="AB50" s="15" t="n">
        <x:v>3.62</x:v>
      </x:c>
      <x:c r="AC50" s="15" t="n">
        <x:v>-0.331</x:v>
      </x:c>
      <x:c r="AD50" s="14" t="n">
        <x:v>6.820248796945505</x:v>
      </x:c>
      <x:c r="AE50" s="14" t="n">
        <x:f>IFERROR((AD50-AVERAGE($AD$5:$AD$65))/STDEV.P($AD$5:$AD$65),0)</x:f>
        <x:v>-0.5506782256809309</x:v>
      </x:c>
      <x:c r="AF50" s="14" t="n">
        <x:f>-AH50+0.2*AG50</x:f>
        <x:v>-0.2</x:v>
      </x:c>
      <x:c r="AG50" s="14" t="n">
        <x:f>IFERROR((AI50-AVERAGE($AI$5:$AI$65))/STDEV.P($AI$5:$AI$65),0)</x:f>
        <x:v>0</x:v>
      </x:c>
      <x:c r="AH50" s="14" t="n">
        <x:v>0.2</x:v>
      </x:c>
      <x:c r="AI50" s="14"/>
      <x:c r="AJ50" s="14"/>
      <x:c r="AK50" s="13" t="str">
        <x:v>2026Q1</x:v>
      </x:c>
      <x:c r="AL50" s="13"/>
      <x:c r="AM50" s="13" t="str">
        <x:v>No</x:v>
      </x:c>
      <x:c r="AN50" s="10" t="str">
        <x:v>历史加速 -9.1ppt / 无forecast不扣分</x:v>
      </x:c>
      <x:c r="AO50" s="10" t="str">
        <x:v>https://www.sec.gov/Archives/edgar/data/1050915/000105091526000016/0001050915-26-000016-index.html</x:v>
      </x:c>
      <x:c r="AP50" s="10" t="str">
        <x:v>SEC Companyfacts CY2026Q1: revenue $7.875B, gross profit $1.107B, net income $0.221B</x:v>
      </x:c>
    </x:row>
    <x:row r="51">
      <x:c r="A51" s="13" t="n">
        <x:v>47</x:v>
      </x:c>
      <x:c r="B51" s="13" t="str">
        <x:v>COHR</x:v>
      </x:c>
      <x:c r="C51" s="13" t="str">
        <x:v>Coherent</x:v>
      </x:c>
      <x:c r="D51" s="13" t="str">
        <x:v>光模块/激光</x:v>
      </x:c>
      <x:c r="E51" s="13" t="str">
        <x:v>Watch</x:v>
      </x:c>
      <x:c r="F51" s="13" t="n">
        <x:v>0</x:v>
      </x:c>
      <x:c r="G51" s="14" t="n">
        <x:f>IFERROR((H51-MIN($H$5:$H$65)+0.5)/(SUM($H$5:$H$65)-COUNT($H$5:$H$65)*MIN($H$5:$H$65)+0.5*COUNT($H$5:$H$65))*100,"")</x:f>
        <x:v>1.2416217083478804</x:v>
      </x:c>
      <x:c r="H51" s="14" t="n">
        <x:f>$C$2*2*(N51/10)+$E$2*S51+$G$2*Y51+$I$2*AE51+$K$2*AJ51</x:f>
        <x:v>0.065292342919221</x:v>
      </x:c>
      <x:c r="I51" s="14" t="n">
        <x:f>$C$2*2*(N51/10)</x:f>
        <x:v>0.35200000000000004</x:v>
      </x:c>
      <x:c r="J51" s="14" t="n">
        <x:f>$E$2*S51</x:f>
        <x:v>-0.05310397083387278</x:v>
      </x:c>
      <x:c r="K51" s="14" t="n">
        <x:f>$G$2*Y51</x:f>
        <x:v>-0.12136445256637916</x:v>
      </x:c>
      <x:c r="L51" s="14" t="n">
        <x:f>$I$2*AE51</x:f>
        <x:v>-0.11223923368052706</x:v>
      </x:c>
      <x:c r="M51" s="14" t="n">
        <x:f>$K$2*AJ51</x:f>
        <x:v>0</x:v>
      </x:c>
      <x:c r="N51" s="15" t="n">
        <x:v>8</x:v>
      </x:c>
      <x:c r="O51" s="15" t="n">
        <x:v>20.66666666666668</x:v>
      </x:c>
      <x:c r="P51" s="15" t="n">
        <x:v>3.786412114824245</x:v>
      </x:c>
      <x:c r="Q51" s="14" t="n">
        <x:f>IFERROR((O51-AVERAGE($O$5:$O$65))/STDEV.P($O$5:$O$65),0)</x:f>
        <x:v>-0.3902699352341854</x:v>
      </x:c>
      <x:c r="R51" s="14" t="n">
        <x:f>IFERROR((P51-AVERAGE($P$5:$P$65))/STDEV.P($P$5:$P$65),0)</x:f>
        <x:v>-0.03384113219183819</x:v>
      </x:c>
      <x:c r="S51" s="14" t="n">
        <x:f>0.65*Q51+0.35*R51</x:f>
        <x:v>-0.26551985416936386</x:v>
      </x:c>
      <x:c r="T51" s="15" t="n">
        <x:v>37.66</x:v>
      </x:c>
      <x:c r="U51" s="15" t="n">
        <x:v>10.06</x:v>
      </x:c>
      <x:c r="V51" s="15" t="n">
        <x:v>10.06</x:v>
      </x:c>
      <x:c r="W51" s="14" t="n">
        <x:f>IFERROR((T51-AVERAGE($T$5:$T$65))/STDEV.P($T$5:$T$65),0)</x:f>
        <x:v>-0.6649180963167938</x:v>
      </x:c>
      <x:c r="X51" s="14" t="n">
        <x:f>IFERROR((V51-AVERAGE($V$5:$V$65))/STDEV.P($V$5:$V$65),0)</x:f>
        <x:v>-0.5196785126045488</x:v>
      </x:c>
      <x:c r="Y51" s="14" t="n">
        <x:f>0.6*W51+0.4*X51</x:f>
        <x:v>-0.6068222628318958</x:v>
      </x:c>
      <x:c r="Z51" s="15" t="n">
        <x:v>618</x:v>
      </x:c>
      <x:c r="AA51" s="15" t="n">
        <x:v>0.198</x:v>
      </x:c>
      <x:c r="AB51" s="15" t="n">
        <x:v>2.73</x:v>
      </x:c>
      <x:c r="AC51" s="15" t="n">
        <x:v>-2.797</x:v>
      </x:c>
      <x:c r="AD51" s="14" t="n">
        <x:v>6.650250747596652</x:v>
      </x:c>
      <x:c r="AE51" s="14" t="n">
        <x:f>IFERROR((AD51-AVERAGE($AD$5:$AD$65))/STDEV.P($AD$5:$AD$65),0)</x:f>
        <x:v>-0.6235512982251503</x:v>
      </x:c>
      <x:c r="AF51" s="14" t="n">
        <x:f>-AH51+0.2*AG51</x:f>
        <x:v>-0.7454124999999998</x:v>
      </x:c>
      <x:c r="AG51" s="14" t="n">
        <x:f>IFERROR((AI51-AVERAGE($AI$5:$AI$65))/STDEV.P($AI$5:$AI$65),0)</x:f>
        <x:v>0</x:v>
      </x:c>
      <x:c r="AH51" s="14" t="n">
        <x:v>0.7454124999999998</x:v>
      </x:c>
      <x:c r="AI51" s="14"/>
      <x:c r="AJ51" s="14"/>
      <x:c r="AK51" s="13" t="str">
        <x:v>2026Q1</x:v>
      </x:c>
      <x:c r="AL51" s="13" t="n">
        <x:v>19.8</x:v>
      </x:c>
      <x:c r="AM51" s="13" t="str">
        <x:v>Yes</x:v>
      </x:c>
      <x:c r="AN51" s="10" t="str">
        <x:v>历史加速 4.4ppt / 前瞻 2.4ppt</x:v>
      </x:c>
      <x:c r="AO51" s="10" t="str">
        <x:v>https://www.sec.gov/Archives/edgar/data/820318/000082031826000013/0000820318-26-000013-index.html</x:v>
      </x:c>
      <x:c r="AP51" s="10" t="str">
        <x:v>SEC Companyfacts CY2026Q1: revenue $1.806B, gross profit $0.680B (revenue minus CostOfGoodsAndServicesSold $1.126B), net income $0.182B</x:v>
      </x:c>
    </x:row>
    <x:row r="52">
      <x:c r="A52" s="13" t="n">
        <x:v>48</x:v>
      </x:c>
      <x:c r="B52" s="13" t="str">
        <x:v>RKLB</x:v>
      </x:c>
      <x:c r="C52" s="13" t="str">
        <x:v>Rocket Lab</x:v>
      </x:c>
      <x:c r="D52" s="13" t="str">
        <x:v>航天运载</x:v>
      </x:c>
      <x:c r="E52" s="13" t="str">
        <x:v>Watch</x:v>
      </x:c>
      <x:c r="F52" s="13" t="n">
        <x:v>0</x:v>
      </x:c>
      <x:c r="G52" s="14" t="n">
        <x:f>IFERROR((H52-MIN($H$5:$H$65)+0.5)/(SUM($H$5:$H$65)-COUNT($H$5:$H$65)*MIN($H$5:$H$65)+0.5*COUNT($H$5:$H$65))*100,"")</x:f>
        <x:v>0.9808466570894873</x:v>
      </x:c>
      <x:c r="H52" s="14" t="n">
        <x:f>$C$2*2*(N52/10)+$E$2*S52+$G$2*Y52+$I$2*AE52+$K$2*AJ52</x:f>
        <x:v>-0.10850520055977475</x:v>
      </x:c>
      <x:c r="I52" s="14" t="n">
        <x:f>$C$2*2*(N52/10)</x:f>
        <x:v>0.308</x:v>
      </x:c>
      <x:c r="J52" s="14" t="n">
        <x:f>$E$2*S52</x:f>
        <x:v>0.05947096097273381</x:v>
      </x:c>
      <x:c r="K52" s="14" t="n">
        <x:f>$G$2*Y52</x:f>
        <x:v>-0.24038736987649523</x:v>
      </x:c>
      <x:c r="L52" s="14" t="n">
        <x:f>$I$2*AE52</x:f>
        <x:v>-0.23558879165601332</x:v>
      </x:c>
      <x:c r="M52" s="14" t="n">
        <x:f>$K$2*AJ52</x:f>
        <x:v>0</x:v>
      </x:c>
      <x:c r="N52" s="15" t="n">
        <x:v>7</x:v>
      </x:c>
      <x:c r="O52" s="15" t="n">
        <x:v>66.66666666666667</x:v>
      </x:c>
      <x:c r="P52" s="15" t="n">
        <x:v>-1.2361111111111167</x:v>
      </x:c>
      <x:c r="Q52" s="14" t="n">
        <x:f>IFERROR((O52-AVERAGE($O$5:$O$65))/STDEV.P($O$5:$O$65),0)</x:f>
        <x:v>0.5345804840189979</x:v>
      </x:c>
      <x:c r="R52" s="14" t="n">
        <x:f>IFERROR((P52-AVERAGE($P$5:$P$65))/STDEV.P($P$5:$P$65),0)</x:f>
        <x:v>-0.14320717071051323</x:v>
      </x:c>
      <x:c r="S52" s="14" t="n">
        <x:f>0.65*Q52+0.35*R52</x:f>
        <x:v>0.29735480486366905</x:v>
      </x:c>
      <x:c r="T52" s="15" t="n">
        <x:v>38.2</x:v>
      </x:c>
      <x:c r="U52" s="15" t="n">
        <x:v>-22.5</x:v>
      </x:c>
      <x:c r="V52" s="15" t="n">
        <x:v>-22.5</x:v>
      </x:c>
      <x:c r="W52" s="14" t="n">
        <x:f>IFERROR((T52-AVERAGE($T$5:$T$65))/STDEV.P($T$5:$T$65),0)</x:f>
        <x:v>-0.6400800902920544</x:v>
      </x:c>
      <x:c r="X52" s="14" t="n">
        <x:f>IFERROR((V52-AVERAGE($V$5:$V$65))/STDEV.P($V$5:$V$65),0)</x:f>
        <x:v>-2.0447219880181082</x:v>
      </x:c>
      <x:c r="Y52" s="14" t="n">
        <x:f>0.6*W52+0.4*X52</x:f>
        <x:v>-1.201936849382476</x:v>
      </x:c>
      <x:c r="Z52" s="15" t="n">
        <x:v>722</x:v>
      </x:c>
      <x:c r="AA52" s="15" t="n">
        <x:v>-0.154</x:v>
      </x:c>
      <x:c r="AB52" s="15" t="n">
        <x:v>-19.2</x:v>
      </x:c>
      <x:c r="AC52" s="15" t="n">
        <x:v>0.676</x:v>
      </x:c>
      <x:c r="AD52" s="14" t="n">
        <x:v>5.0516428674246825</x:v>
      </x:c>
      <x:c r="AE52" s="14" t="n">
        <x:f>IFERROR((AD52-AVERAGE($AD$5:$AD$65))/STDEV.P($AD$5:$AD$65),0)</x:f>
        <x:v>-1.3088266203111851</x:v>
      </x:c>
      <x:c r="AF52" s="14" t="n">
        <x:f>-AH52+0.2*AG52</x:f>
        <x:v>-0.32600000000000007</x:v>
      </x:c>
      <x:c r="AG52" s="14" t="n">
        <x:f>IFERROR((AI52-AVERAGE($AI$5:$AI$65))/STDEV.P($AI$5:$AI$65),0)</x:f>
        <x:v>0</x:v>
      </x:c>
      <x:c r="AH52" s="14" t="n">
        <x:v>0.32600000000000007</x:v>
      </x:c>
      <x:c r="AI52" s="14"/>
      <x:c r="AJ52" s="14"/>
      <x:c r="AK52" s="13" t="str">
        <x:v>2026Q1</x:v>
      </x:c>
      <x:c r="AL52" s="13" t="n">
        <x:v>2.325</x:v>
      </x:c>
      <x:c r="AM52" s="13" t="str">
        <x:v>Yes</x:v>
      </x:c>
      <x:c r="AN52" s="10" t="str">
        <x:v>历史加速 -3.7ppt / 前瞻 4.4ppt</x:v>
      </x:c>
      <x:c r="AO52" s="10" t="str">
        <x:v>https://investors.rocketlabcorp.com/news-releases/news-release-details/rocket-lab-announces-first-quarter-2026-financial-results</x:v>
      </x:c>
      <x:c r="AP52" s="10" t="str"/>
    </x:row>
    <x:row r="53">
      <x:c r="A53" s="13" t="n">
        <x:v>49</x:v>
      </x:c>
      <x:c r="B53" s="13" t="str">
        <x:v>POWL</x:v>
      </x:c>
      <x:c r="C53" s="13" t="str">
        <x:v>Powell Industries</x:v>
      </x:c>
      <x:c r="D53" s="13" t="str">
        <x:v>开关柜</x:v>
      </x:c>
      <x:c r="E53" s="13" t="str">
        <x:v>Watch</x:v>
      </x:c>
      <x:c r="F53" s="13" t="n">
        <x:v>0</x:v>
      </x:c>
      <x:c r="G53" s="14" t="n">
        <x:f>IFERROR((H53-MIN($H$5:$H$65)+0.5)/(SUM($H$5:$H$65)-COUNT($H$5:$H$65)*MIN($H$5:$H$65)+0.5*COUNT($H$5:$H$65))*100,"")</x:f>
        <x:v>0.9084453498891566</x:v>
      </x:c>
      <x:c r="H53" s="14" t="n">
        <x:f>$C$2*2*(N53/10)+$E$2*S53+$G$2*Y53+$I$2*AE53+$K$2*AJ53</x:f>
        <x:v>-0.1567581652332142</x:v>
      </x:c>
      <x:c r="I53" s="14" t="n">
        <x:f>$C$2*2*(N53/10)</x:f>
        <x:v>0.308</x:v>
      </x:c>
      <x:c r="J53" s="14" t="n">
        <x:f>$E$2*S53</x:f>
        <x:v>-0.09221415912147597</x:v>
      </x:c>
      <x:c r="K53" s="14" t="n">
        <x:f>$G$2*Y53</x:f>
        <x:v>-0.14530464087766942</x:v>
      </x:c>
      <x:c r="L53" s="14" t="n">
        <x:f>$I$2*AE53</x:f>
        <x:v>-0.22723936523406882</x:v>
      </x:c>
      <x:c r="M53" s="14" t="n">
        <x:f>$K$2*AJ53</x:f>
        <x:v>0</x:v>
      </x:c>
      <x:c r="N53" s="15" t="n">
        <x:v>7</x:v>
      </x:c>
      <x:c r="O53" s="15" t="n">
        <x:v>7.14285714285714</x:v>
      </x:c>
      <x:c r="P53" s="15" t="n">
        <x:v>1.3177339901477798</x:v>
      </x:c>
      <x:c r="Q53" s="14" t="n">
        <x:f>IFERROR((O53-AVERAGE($O$5:$O$65))/STDEV.P($O$5:$O$65),0)</x:f>
        <x:v>-0.6621721288862604</x:v>
      </x:c>
      <x:c r="R53" s="14" t="n">
        <x:f>IFERROR((P53-AVERAGE($P$5:$P$65))/STDEV.P($P$5:$P$65),0)</x:f>
        <x:v>-0.08759689094660146</x:v>
      </x:c>
      <x:c r="S53" s="14" t="n">
        <x:f>0.65*Q53+0.35*R53</x:f>
        <x:v>-0.46107079560737985</x:v>
      </x:c>
      <x:c r="T53" s="15" t="n">
        <x:v>29.65</x:v>
      </x:c>
      <x:c r="U53" s="15" t="n">
        <x:v>15.47</x:v>
      </x:c>
      <x:c r="V53" s="15" t="n">
        <x:v>15.47</x:v>
      </x:c>
      <x:c r="W53" s="14" t="n">
        <x:f>IFERROR((T53-AVERAGE($T$5:$T$65))/STDEV.P($T$5:$T$65),0)</x:f>
        <x:v>-1.0333485190170906</x:v>
      </x:c>
      <x:c r="X53" s="14" t="n">
        <x:f>IFERROR((V53-AVERAGE($V$5:$V$65))/STDEV.P($V$5:$V$65),0)</x:f>
        <x:v>-0.2662852324452319</x:v>
      </x:c>
      <x:c r="Y53" s="14" t="n">
        <x:f>0.6*W53+0.4*X53</x:f>
        <x:v>-0.726523204388347</x:v>
      </x:c>
      <x:c r="Z53" s="15" t="n">
        <x:v>50</x:v>
      </x:c>
      <x:c r="AA53" s="15" t="n">
        <x:v>0.175</x:v>
      </x:c>
      <x:c r="AB53" s="15" t="n">
        <x:v>14.56</x:v>
      </x:c>
      <x:c r="AC53" s="15" t="n">
        <x:v>0.45</x:v>
      </x:c>
      <x:c r="AD53" s="14" t="n">
        <x:v>5.159851271995448</x:v>
      </x:c>
      <x:c r="AE53" s="14" t="n">
        <x:f>IFERROR((AD53-AVERAGE($AD$5:$AD$65))/STDEV.P($AD$5:$AD$65),0)</x:f>
        <x:v>-1.262440917967049</x:v>
      </x:c>
      <x:c r="AF53" s="14" t="n">
        <x:f>-AH53+0.2*AG53</x:f>
        <x:v>-0.21434999999999998</x:v>
      </x:c>
      <x:c r="AG53" s="14" t="n">
        <x:f>IFERROR((AI53-AVERAGE($AI$5:$AI$65))/STDEV.P($AI$5:$AI$65),0)</x:f>
        <x:v>0</x:v>
      </x:c>
      <x:c r="AH53" s="14" t="n">
        <x:v>0.21434999999999998</x:v>
      </x:c>
      <x:c r="AI53" s="14"/>
      <x:c r="AJ53" s="14"/>
      <x:c r="AK53" s="13" t="str">
        <x:v>2026Q1</x:v>
      </x:c>
      <x:c r="AL53" s="13"/>
      <x:c r="AM53" s="13" t="str">
        <x:v>No</x:v>
      </x:c>
      <x:c r="AN53" s="10" t="str">
        <x:v>历史加速 1.3ppt / 无forecast不扣分</x:v>
      </x:c>
      <x:c r="AO53" s="10" t="str">
        <x:v>https://www.sec.gov/Archives/edgar/data/80420/000008042026000070/0000080420-26-000070-index.html</x:v>
      </x:c>
      <x:c r="AP53" s="10" t="str">
        <x:v>SEC Companyfacts CY2026Q1: revenue $0.297B, gross profit $0.088B, net income $0.046B</x:v>
      </x:c>
    </x:row>
    <x:row r="54">
      <x:c r="A54" s="13" t="n">
        <x:v>50</x:v>
      </x:c>
      <x:c r="B54" s="13" t="str">
        <x:v>IREN</x:v>
      </x:c>
      <x:c r="C54" s="13" t="str">
        <x:v>IREN</x:v>
      </x:c>
      <x:c r="D54" s="13" t="str">
        <x:v>GPU 云</x:v>
      </x:c>
      <x:c r="E54" s="13" t="str">
        <x:v>Watch</x:v>
      </x:c>
      <x:c r="F54" s="13" t="n">
        <x:v>0</x:v>
      </x:c>
      <x:c r="G54" s="14" t="n">
        <x:f>IFERROR((H54-MIN($H$5:$H$65)+0.5)/(SUM($H$5:$H$65)-COUNT($H$5:$H$65)*MIN($H$5:$H$65)+0.5*COUNT($H$5:$H$65))*100,"")</x:f>
        <x:v>0.8772138843621186</x:v>
      </x:c>
      <x:c r="H54" s="14" t="n">
        <x:f>$C$2*2*(N54/10)+$E$2*S54+$G$2*Y54+$I$2*AE54+$K$2*AJ54</x:f>
        <x:v>-0.17757285575539067</x:v>
      </x:c>
      <x:c r="I54" s="14" t="n">
        <x:f>$C$2*2*(N54/10)</x:f>
        <x:v>0.308</x:v>
      </x:c>
      <x:c r="J54" s="14" t="n">
        <x:f>$E$2*S54</x:f>
        <x:v>-0.03456212661493612</x:v>
      </x:c>
      <x:c r="K54" s="14" t="n">
        <x:f>$G$2*Y54</x:f>
        <x:v>-0.07961089969654034</x:v>
      </x:c>
      <x:c r="L54" s="14" t="n">
        <x:f>$I$2*AE54</x:f>
        <x:v>-0.3713998294439142</x:v>
      </x:c>
      <x:c r="M54" s="14" t="n">
        <x:f>$K$2*AJ54</x:f>
        <x:v>0</x:v>
      </x:c>
      <x:c r="N54" s="15" t="n">
        <x:v>7</x:v>
      </x:c>
      <x:c r="O54" s="15" t="n">
        <x:v>0</x:v>
      </x:c>
      <x:c r="P54" s="15" t="n">
        <x:v>51.388888888888886</x:v>
      </x:c>
      <x:c r="Q54" s="14" t="n">
        <x:f>IFERROR((O54-AVERAGE($O$5:$O$65))/STDEV.P($O$5:$O$65),0)</x:f>
        <x:v>-0.8057824424348913</x:v>
      </x:c>
      <x:c r="R54" s="14" t="n">
        <x:f>IFERROR((P54-AVERAGE($P$5:$P$65))/STDEV.P($P$5:$P$65),0)</x:f>
        <x:v>1.0027084414514251</x:v>
      </x:c>
      <x:c r="S54" s="14" t="n">
        <x:f>0.65*Q54+0.35*R54</x:f>
        <x:v>-0.1728106330746806</x:v>
      </x:c>
      <x:c r="T54" s="15" t="n">
        <x:v>72.42</x:v>
      </x:c>
      <x:c r="U54" s="15" t="n">
        <x:v>-171.16</x:v>
      </x:c>
      <x:c r="V54" s="15" t="n">
        <x:v>-30</x:v>
      </x:c>
      <x:c r="W54" s="14" t="n">
        <x:f>IFERROR((T54-AVERAGE($T$5:$T$65))/STDEV.P($T$5:$T$65),0)</x:f>
        <x:v>0.9339135507571539</x:v>
      </x:c>
      <x:c r="X54" s="14" t="n">
        <x:f>IFERROR((V54-AVERAGE($V$5:$V$65))/STDEV.P($V$5:$V$65),0)</x:f>
        <x:v>-2.396006572342485</x:v>
      </x:c>
      <x:c r="Y54" s="14" t="n">
        <x:f>0.6*W54+0.4*X54</x:f>
        <x:v>-0.3980544984827017</x:v>
      </x:c>
      <x:c r="Z54" s="15" t="n">
        <x:v>130</x:v>
      </x:c>
      <x:c r="AA54" s="15" t="n">
        <x:v>-0.11</x:v>
      </x:c>
      <x:c r="AB54" s="15" t="n">
        <x:v>-19.7</x:v>
      </x:c>
      <x:c r="AC54" s="15"/>
      <x:c r="AD54" s="14" t="n">
        <x:v>3.291534450455582</x:v>
      </x:c>
      <x:c r="AE54" s="14" t="n">
        <x:f>IFERROR((AD54-AVERAGE($AD$5:$AD$65))/STDEV.P($AD$5:$AD$65),0)</x:f>
        <x:v>-2.0633323857995234</x:v>
      </x:c>
      <x:c r="AF54" s="14" t="n">
        <x:f>-AH54+0.2*AG54</x:f>
        <x:v>-0.1</x:v>
      </x:c>
      <x:c r="AG54" s="14" t="n">
        <x:f>IFERROR((AI54-AVERAGE($AI$5:$AI$65))/STDEV.P($AI$5:$AI$65),0)</x:f>
        <x:v>0</x:v>
      </x:c>
      <x:c r="AH54" s="14" t="n">
        <x:v>0.1</x:v>
      </x:c>
      <x:c r="AI54" s="14"/>
      <x:c r="AJ54" s="14"/>
      <x:c r="AK54" s="13" t="str">
        <x:v>2026Q1</x:v>
      </x:c>
      <x:c r="AL54" s="13"/>
      <x:c r="AM54" s="13" t="str">
        <x:v>No</x:v>
      </x:c>
      <x:c r="AN54" s="10" t="str">
        <x:v>历史加速 51.4ppt / 无forecast不扣分</x:v>
      </x:c>
      <x:c r="AO54" s="10" t="str">
        <x:v>https://www.sec.gov/Archives/edgar/data/1878848/000187884826000026/0001878848-26-000026-index.html</x:v>
      </x:c>
      <x:c r="AP54" s="10" t="str">
        <x:v>SEC Companyfacts CY2026Q1: revenue $0.145B, gross profit $0.105B (revenue minus CostOfRevenue $0.040B), net income $-0.248B</x:v>
      </x:c>
    </x:row>
    <x:row r="55">
      <x:c r="A55" s="13" t="n">
        <x:v>51</x:v>
      </x:c>
      <x:c r="B55" s="13" t="str">
        <x:v>ONTO</x:v>
      </x:c>
      <x:c r="C55" s="13" t="str">
        <x:v>Onto Innovation</x:v>
      </x:c>
      <x:c r="D55" s="13" t="str">
        <x:v>先进封装量测</x:v>
      </x:c>
      <x:c r="E55" s="13" t="str">
        <x:v>Watch</x:v>
      </x:c>
      <x:c r="F55" s="13" t="n">
        <x:v>0</x:v>
      </x:c>
      <x:c r="G55" s="14" t="n">
        <x:f>IFERROR((H55-MIN($H$5:$H$65)+0.5)/(SUM($H$5:$H$65)-COUNT($H$5:$H$65)*MIN($H$5:$H$65)+0.5*COUNT($H$5:$H$65))*100,"")</x:f>
        <x:v>1.191211577501034</x:v>
      </x:c>
      <x:c r="H55" s="14" t="n">
        <x:f>$C$2*2*(N55/10)+$E$2*S55+$G$2*Y55+$I$2*AE55+$K$2*AJ55</x:f>
        <x:v>0.03169573593799746</x:v>
      </x:c>
      <x:c r="I55" s="14" t="n">
        <x:f>$C$2*2*(N55/10)</x:f>
        <x:v>0.308</x:v>
      </x:c>
      <x:c r="J55" s="14" t="n">
        <x:f>$E$2*S55</x:f>
        <x:v>-0.06847212992238873</x:v>
      </x:c>
      <x:c r="K55" s="14" t="n">
        <x:f>$G$2*Y55</x:f>
        <x:v>-0.046859829175245976</x:v>
      </x:c>
      <x:c r="L55" s="14" t="n">
        <x:f>$I$2*AE55</x:f>
        <x:v>-0.16097230496436785</x:v>
      </x:c>
      <x:c r="M55" s="14" t="n">
        <x:f>$K$2*AJ55</x:f>
        <x:v>0</x:v>
      </x:c>
      <x:c r="N55" s="15" t="n">
        <x:v>7</x:v>
      </x:c>
      <x:c r="O55" s="15" t="n">
        <x:v>7.407407407407396</x:v>
      </x:c>
      <x:c r="P55" s="15" t="n">
        <x:v>16.44021827470103</x:v>
      </x:c>
      <x:c r="Q55" s="14" t="n">
        <x:f>IFERROR((O55-AVERAGE($O$5:$O$65))/STDEV.P($O$5:$O$65),0)</x:f>
        <x:v>-0.6568532283844594</x:v>
      </x:c>
      <x:c r="R55" s="14" t="n">
        <x:f>IFERROR((P55-AVERAGE($P$5:$P$65))/STDEV.P($P$5:$P$65),0)</x:f>
        <x:v>0.2416969966798713</x:v>
      </x:c>
      <x:c r="S55" s="14" t="n">
        <x:f>0.65*Q55+0.35*R55</x:f>
        <x:v>-0.3423606496119436</x:v>
      </x:c>
      <x:c r="T55" s="15" t="n">
        <x:v>50.14</x:v>
      </x:c>
      <x:c r="U55" s="15" t="n">
        <x:v>11.56</x:v>
      </x:c>
      <x:c r="V55" s="15" t="n">
        <x:v>11.56</x:v>
      </x:c>
      <x:c r="W55" s="14" t="n">
        <x:f>IFERROR((T55-AVERAGE($T$5:$T$65))/STDEV.P($T$5:$T$65),0)</x:f>
        <x:v>-0.09088417930060072</x:v>
      </x:c>
      <x:c r="X55" s="14" t="n">
        <x:f>IFERROR((V55-AVERAGE($V$5:$V$65))/STDEV.P($V$5:$V$65),0)</x:f>
        <x:v>-0.4494215957396735</x:v>
      </x:c>
      <x:c r="Y55" s="14" t="n">
        <x:f>0.6*W55+0.4*X55</x:f>
        <x:v>-0.23429914587622985</x:v>
      </x:c>
      <x:c r="Z55" s="15" t="n">
        <x:v>141</x:v>
      </x:c>
      <x:c r="AA55" s="15" t="n">
        <x:v>0.149</x:v>
      </x:c>
      <x:c r="AB55" s="15" t="n">
        <x:v>12.88</x:v>
      </x:c>
      <x:c r="AC55" s="15" t="n">
        <x:v>0.341</x:v>
      </x:c>
      <x:c r="AD55" s="14" t="n">
        <x:v>6.018671088472032</x:v>
      </x:c>
      <x:c r="AE55" s="14" t="n">
        <x:f>IFERROR((AD55-AVERAGE($AD$5:$AD$65))/STDEV.P($AD$5:$AD$65),0)</x:f>
        <x:v>-0.8942905831353769</x:v>
      </x:c>
      <x:c r="AF55" s="14" t="n">
        <x:f>-AH55+0.2*AG55</x:f>
        <x:v>-0.7316125</x:v>
      </x:c>
      <x:c r="AG55" s="14" t="n">
        <x:f>IFERROR((AI55-AVERAGE($AI$5:$AI$65))/STDEV.P($AI$5:$AI$65),0)</x:f>
        <x:v>0</x:v>
      </x:c>
      <x:c r="AH55" s="14" t="n">
        <x:v>0.7316125</x:v>
      </x:c>
      <x:c r="AI55" s="14"/>
      <x:c r="AJ55" s="14"/>
      <x:c r="AK55" s="13" t="str">
        <x:v>2026Q1</x:v>
      </x:c>
      <x:c r="AL55" s="13" t="n">
        <x:v>3.25</x:v>
      </x:c>
      <x:c r="AM55" s="13" t="str">
        <x:v>Yes</x:v>
      </x:c>
      <x:c r="AN55" s="10" t="str">
        <x:v>历史加速 24.8ppt / 前瞻 -3.0ppt</x:v>
      </x:c>
      <x:c r="AO55" s="10" t="str">
        <x:v>https://www.sec.gov/Archives/edgar/data/704532/000119312526206707/0001193125-26-206707-index.html</x:v>
      </x:c>
      <x:c r="AP55" s="10" t="str">
        <x:v>SEC Companyfacts CY2026Q1: revenue $0.292B, gross profit $0.146B, net income $0.034B</x:v>
      </x:c>
    </x:row>
    <x:row r="56">
      <x:c r="A56" s="13" t="n">
        <x:v>52</x:v>
      </x:c>
      <x:c r="B56" s="13" t="str">
        <x:v>CIEN</x:v>
      </x:c>
      <x:c r="C56" s="13" t="str">
        <x:v>Ciena</x:v>
      </x:c>
      <x:c r="D56" s="13" t="str">
        <x:v>光网络</x:v>
      </x:c>
      <x:c r="E56" s="13" t="str">
        <x:v>Watch</x:v>
      </x:c>
      <x:c r="F56" s="13" t="n">
        <x:v>0</x:v>
      </x:c>
      <x:c r="G56" s="14" t="n">
        <x:f>IFERROR((H56-MIN($H$5:$H$65)+0.5)/(SUM($H$5:$H$65)-COUNT($H$5:$H$65)*MIN($H$5:$H$65)+0.5*COUNT($H$5:$H$65))*100,"")</x:f>
        <x:v>1.143783086421931</x:v>
      </x:c>
      <x:c r="H56" s="14" t="n">
        <x:f>$C$2*2*(N56/10)+$E$2*S56+$G$2*Y56+$I$2*AE56+$K$2*AJ56</x:f>
        <x:v>0.00008628863586299107</x:v>
      </x:c>
      <x:c r="I56" s="14" t="n">
        <x:f>$C$2*2*(N56/10)</x:f>
        <x:v>0.308</x:v>
      </x:c>
      <x:c r="J56" s="14" t="n">
        <x:f>$E$2*S56</x:f>
        <x:v>-0.005534480201126658</x:v>
      </x:c>
      <x:c r="K56" s="14" t="n">
        <x:f>$G$2*Y56</x:f>
        <x:v>-0.07185372893087212</x:v>
      </x:c>
      <x:c r="L56" s="14" t="n">
        <x:f>$I$2*AE56</x:f>
        <x:v>-0.23052550223213822</x:v>
      </x:c>
      <x:c r="M56" s="14" t="n">
        <x:f>$K$2*AJ56</x:f>
        <x:v>0</x:v>
      </x:c>
      <x:c r="N56" s="15" t="n">
        <x:v>7</x:v>
      </x:c>
      <x:c r="O56" s="15" t="n">
        <x:v>38.938053097345126</x:v>
      </x:c>
      <x:c r="P56" s="15" t="n">
        <x:v>3.664009703405347</x:v>
      </x:c>
      <x:c r="Q56" s="14" t="n">
        <x:f>IFERROR((O56-AVERAGE($O$5:$O$65))/STDEV.P($O$5:$O$65),0)</x:f>
        <x:v>-0.022915600435274776</x:v>
      </x:c>
      <x:c r="R56" s="14" t="n">
        <x:f>IFERROR((P56-AVERAGE($P$5:$P$65))/STDEV.P($P$5:$P$65),0)</x:f>
        <x:v>-0.03650645920772767</x:v>
      </x:c>
      <x:c r="S56" s="14" t="n">
        <x:f>0.65*Q56+0.35*R56</x:f>
        <x:v>-0.02767240100563329</x:v>
      </x:c>
      <x:c r="T56" s="15" t="n">
        <x:v>44.03</x:v>
      </x:c>
      <x:c r="U56" s="15" t="n">
        <x:v>13.89</x:v>
      </x:c>
      <x:c r="V56" s="15" t="n">
        <x:v>13.89</x:v>
      </x:c>
      <x:c r="W56" s="14" t="n">
        <x:f>IFERROR((T56-AVERAGE($T$5:$T$65))/STDEV.P($T$5:$T$65),0)</x:f>
        <x:v>-0.37192161783977845</x:v>
      </x:c>
      <x:c r="X56" s="14" t="n">
        <x:f>IFERROR((V56-AVERAGE($V$5:$V$65))/STDEV.P($V$5:$V$65),0)</x:f>
        <x:v>-0.3402891848762339</x:v>
      </x:c>
      <x:c r="Y56" s="14" t="n">
        <x:f>0.6*W56+0.4*X56</x:f>
        <x:v>-0.3592686446543606</x:v>
      </x:c>
      <x:c r="Z56" s="15" t="n">
        <x:v>150</x:v>
      </x:c>
      <x:c r="AA56" s="15" t="n">
        <x:v>0.062</x:v>
      </x:c>
      <x:c r="AB56" s="15" t="n">
        <x:v>0.99</x:v>
      </x:c>
      <x:c r="AC56" s="15" t="n">
        <x:v>0.415</x:v>
      </x:c>
      <x:c r="AD56" s="14" t="n">
        <x:v>5.117263000203811</x:v>
      </x:c>
      <x:c r="AE56" s="14" t="n">
        <x:f>IFERROR((AD56-AVERAGE($AD$5:$AD$65))/STDEV.P($AD$5:$AD$65),0)</x:f>
        <x:v>-1.2806972346229901</x:v>
      </x:c>
      <x:c r="AF56" s="14" t="n">
        <x:f>-AH56+0.2*AG56</x:f>
        <x:v>-0.6140500000000001</x:v>
      </x:c>
      <x:c r="AG56" s="14" t="n">
        <x:f>IFERROR((AI56-AVERAGE($AI$5:$AI$65))/STDEV.P($AI$5:$AI$65),0)</x:f>
        <x:v>0</x:v>
      </x:c>
      <x:c r="AH56" s="14" t="n">
        <x:v>0.6140500000000001</x:v>
      </x:c>
      <x:c r="AI56" s="14"/>
      <x:c r="AJ56" s="14"/>
      <x:c r="AK56" s="13" t="str">
        <x:v>2026Q1</x:v>
      </x:c>
      <x:c r="AL56" s="13" t="n">
        <x:v>16.25</x:v>
      </x:c>
      <x:c r="AM56" s="13" t="str">
        <x:v>Yes</x:v>
      </x:c>
      <x:c r="AN56" s="10" t="str">
        <x:v>历史加速 9.5ppt / 前瞻 -10.0ppt</x:v>
      </x:c>
      <x:c r="AO56" s="10" t="str">
        <x:v>https://www.sec.gov/Archives/edgar/data/936395/000162828026040767/0001628280-26-040767-index.html</x:v>
      </x:c>
      <x:c r="AP56" s="10" t="str">
        <x:v>SEC Companyfacts CY2026Q1: revenue $1.571B, gross profit $0.692B, net income $0.218B</x:v>
      </x:c>
    </x:row>
    <x:row r="57">
      <x:c r="A57" s="13" t="n">
        <x:v>53</x:v>
      </x:c>
      <x:c r="B57" s="13" t="str">
        <x:v>CCJ</x:v>
      </x:c>
      <x:c r="C57" s="13" t="str">
        <x:v>Cameco</x:v>
      </x:c>
      <x:c r="D57" s="13" t="str">
        <x:v>铀矿</x:v>
      </x:c>
      <x:c r="E57" s="13" t="str">
        <x:v>Watch</x:v>
      </x:c>
      <x:c r="F57" s="13" t="n">
        <x:v>0</x:v>
      </x:c>
      <x:c r="G57" s="14" t="n">
        <x:f>IFERROR((H57-MIN($H$5:$H$65)+0.5)/(SUM($H$5:$H$65)-COUNT($H$5:$H$65)*MIN($H$5:$H$65)+0.5*COUNT($H$5:$H$65))*100,"")</x:f>
        <x:v>1.3080748976505023</x:v>
      </x:c>
      <x:c r="H57" s="14" t="n">
        <x:f>$C$2*2*(N57/10)+$E$2*S57+$G$2*Y57+$I$2*AE57+$K$2*AJ57</x:f>
        <x:v>0.10958109294115653</x:v>
      </x:c>
      <x:c r="I57" s="14" t="n">
        <x:f>$C$2*2*(N57/10)</x:f>
        <x:v>0.264</x:v>
      </x:c>
      <x:c r="J57" s="14" t="n">
        <x:f>$E$2*S57</x:f>
        <x:v>-0.03204416433973258</x:v>
      </x:c>
      <x:c r="K57" s="14" t="n">
        <x:f>$G$2*Y57</x:f>
        <x:v>-0.11157812832387198</x:v>
      </x:c>
      <x:c r="L57" s="14" t="n">
        <x:f>$I$2*AE57</x:f>
        <x:v>-0.010796614395238907</x:v>
      </x:c>
      <x:c r="M57" s="14" t="n">
        <x:f>$K$2*AJ57</x:f>
        <x:v>0</x:v>
      </x:c>
      <x:c r="N57" s="15" t="n">
        <x:v>6</x:v>
      </x:c>
      <x:c r="O57" s="15" t="n">
        <x:v>9.090909090909083</x:v>
      </x:c>
      <x:c r="P57" s="15" t="n">
        <x:v>37.45226349877512</x:v>
      </x:c>
      <x:c r="Q57" s="14" t="n">
        <x:f>IFERROR((O57-AVERAGE($O$5:$O$65))/STDEV.P($O$5:$O$65),0)</x:f>
        <x:v>-0.6230056797366338</x:v>
      </x:c>
      <x:c r="R57" s="14" t="n">
        <x:f>IFERROR((P57-AVERAGE($P$5:$P$65))/STDEV.P($P$5:$P$65),0)</x:f>
        <x:v>0.6992367718004259</x:v>
      </x:c>
      <x:c r="S57" s="14" t="n">
        <x:f>0.65*Q57+0.35*R57</x:f>
        <x:v>-0.16022082169866292</x:v>
      </x:c>
      <x:c r="T57" s="15" t="n">
        <x:v>35.74</x:v>
      </x:c>
      <x:c r="U57" s="15" t="n">
        <x:v>15.5</x:v>
      </x:c>
      <x:c r="V57" s="15" t="n">
        <x:v>15.5</x:v>
      </x:c>
      <x:c r="W57" s="14" t="n">
        <x:f>IFERROR((T57-AVERAGE($T$5:$T$65))/STDEV.P($T$5:$T$65),0)</x:f>
        <x:v>-0.753231006626977</x:v>
      </x:c>
      <x:c r="X57" s="14" t="n">
        <x:f>IFERROR((V57-AVERAGE($V$5:$V$65))/STDEV.P($V$5:$V$65),0)</x:f>
        <x:v>-0.2648800941079344</x:v>
      </x:c>
      <x:c r="Y57" s="14" t="n">
        <x:f>0.6*W57+0.4*X57</x:f>
        <x:v>-0.5578906416193599</x:v>
      </x:c>
      <x:c r="Z57" s="15" t="n">
        <x:v>508</x:v>
      </x:c>
      <x:c r="AA57" s="15" t="n">
        <x:v>0.499</x:v>
      </x:c>
      <x:c r="AB57" s="15" t="n">
        <x:v>20.77</x:v>
      </x:c>
      <x:c r="AC57" s="15"/>
      <x:c r="AD57" s="14" t="n">
        <x:v>7.964945127020165</x:v>
      </x:c>
      <x:c r="AE57" s="14" t="n">
        <x:f>IFERROR((AD57-AVERAGE($AD$5:$AD$65))/STDEV.P($AD$5:$AD$65),0)</x:f>
        <x:v>-0.059981191084660594</x:v>
      </x:c>
      <x:c r="AF57" s="14" t="n">
        <x:f>-AH57+0.2*AG57</x:f>
        <x:v>-0.9227875</x:v>
      </x:c>
      <x:c r="AG57" s="14" t="n">
        <x:f>IFERROR((AI57-AVERAGE($AI$5:$AI$65))/STDEV.P($AI$5:$AI$65),0)</x:f>
        <x:v>0</x:v>
      </x:c>
      <x:c r="AH57" s="14" t="n">
        <x:v>0.9227875</x:v>
      </x:c>
      <x:c r="AI57" s="14"/>
      <x:c r="AJ57" s="14"/>
      <x:c r="AK57" s="13" t="str">
        <x:v>2026Q1</x:v>
      </x:c>
      <x:c r="AL57" s="13"/>
      <x:c r="AM57" s="13" t="str">
        <x:v>No</x:v>
      </x:c>
      <x:c r="AN57" s="10" t="str">
        <x:v>历史加速 37.5ppt / 无forecast不扣分</x:v>
      </x:c>
      <x:c r="AO57" s="10" t="str">
        <x:v>https://www.cameco.com/invest/financial-information/quarterly-reports/2026/q1</x:v>
      </x:c>
      <x:c r="AP57" s="10" t="str">
        <x:v>Cameco Q1 2026 official quarterly report: revenue C$845M, gross profit C$302M, net earnings attributable to equity holders C$131M; converted to USD at CAD/USD 0.712 for display.</x:v>
      </x:c>
    </x:row>
    <x:row r="58">
      <x:c r="A58" s="13" t="n">
        <x:v>54</x:v>
      </x:c>
      <x:c r="B58" s="13" t="str">
        <x:v>EME</x:v>
      </x:c>
      <x:c r="C58" s="13" t="str">
        <x:v>EMCOR Group</x:v>
      </x:c>
      <x:c r="D58" s="13" t="str">
        <x:v>机电工程</x:v>
      </x:c>
      <x:c r="E58" s="13" t="str">
        <x:v>Watch</x:v>
      </x:c>
      <x:c r="F58" s="13" t="n">
        <x:v>0</x:v>
      </x:c>
      <x:c r="G58" s="14" t="n">
        <x:f>IFERROR((H58-MIN($H$5:$H$65)+0.5)/(SUM($H$5:$H$65)-COUNT($H$5:$H$65)*MIN($H$5:$H$65)+0.5*COUNT($H$5:$H$65))*100,"")</x:f>
        <x:v>0.9080302637953724</x:v>
      </x:c>
      <x:c r="H58" s="14" t="n">
        <x:f>$C$2*2*(N58/10)+$E$2*S58+$G$2*Y58+$I$2*AE58+$K$2*AJ58</x:f>
        <x:v>-0.15703480574419815</x:v>
      </x:c>
      <x:c r="I58" s="14" t="n">
        <x:f>$C$2*2*(N58/10)</x:f>
        <x:v>0.308</x:v>
      </x:c>
      <x:c r="J58" s="14" t="n">
        <x:f>$E$2*S58</x:f>
        <x:v>-0.0642816775396615</x:v>
      </x:c>
      <x:c r="K58" s="14" t="n">
        <x:f>$G$2*Y58</x:f>
        <x:v>-0.23914558104957653</x:v>
      </x:c>
      <x:c r="L58" s="14" t="n">
        <x:f>$I$2*AE58</x:f>
        <x:v>-0.1616075471549601</x:v>
      </x:c>
      <x:c r="M58" s="14" t="n">
        <x:f>$K$2*AJ58</x:f>
        <x:v>0</x:v>
      </x:c>
      <x:c r="N58" s="15" t="n">
        <x:v>7</x:v>
      </x:c>
      <x:c r="O58" s="15" t="n">
        <x:v>19.638242894056823</x:v>
      </x:c>
      <x:c r="P58" s="15" t="n">
        <x:v>-1.783318150306223</x:v>
      </x:c>
      <x:c r="Q58" s="14" t="n">
        <x:f>IFERROR((O58-AVERAGE($O$5:$O$65))/STDEV.P($O$5:$O$65),0)</x:f>
        <x:v>-0.41094685169653683</x:v>
      </x:c>
      <x:c r="R58" s="14" t="n">
        <x:f>IFERROR((P58-AVERAGE($P$5:$P$65))/STDEV.P($P$5:$P$65),0)</x:f>
        <x:v>-0.155122668844453</x:v>
      </x:c>
      <x:c r="S58" s="14" t="n">
        <x:f>0.65*Q58+0.35*R58</x:f>
        <x:v>-0.3214083876983075</x:v>
      </x:c>
      <x:c r="T58" s="15" t="n">
        <x:v>18.67</x:v>
      </x:c>
      <x:c r="U58" s="15" t="n">
        <x:v>6.6</x:v>
      </x:c>
      <x:c r="V58" s="15" t="n">
        <x:v>6.6</x:v>
      </x:c>
      <x:c r="W58" s="14" t="n">
        <x:f>IFERROR((T58-AVERAGE($T$5:$T$65))/STDEV.P($T$5:$T$65),0)</x:f>
        <x:v>-1.5383879748534524</x:v>
      </x:c>
      <x:c r="X58" s="14" t="n">
        <x:f>IFERROR((V58-AVERAGE($V$5:$V$65))/STDEV.P($V$5:$V$65),0)</x:f>
        <x:v>-0.6817378008395278</x:v>
      </x:c>
      <x:c r="Y58" s="14" t="n">
        <x:f>0.6*W58+0.4*X58</x:f>
        <x:v>-1.1957279052478826</x:v>
      </x:c>
      <x:c r="Z58" s="15" t="n">
        <x:v>250</x:v>
      </x:c>
      <x:c r="AA58" s="15" t="n">
        <x:v>0.821</x:v>
      </x:c>
      <x:c r="AB58" s="15" t="n">
        <x:v>4.43</x:v>
      </x:c>
      <x:c r="AC58" s="15" t="n">
        <x:v>1.112</x:v>
      </x:c>
      <x:c r="AD58" s="14" t="n">
        <x:v>6.010438361996431</x:v>
      </x:c>
      <x:c r="AE58" s="14" t="n">
        <x:f>IFERROR((AD58-AVERAGE($AD$5:$AD$65))/STDEV.P($AD$5:$AD$65),0)</x:f>
        <x:v>-0.8978197064164449</x:v>
      </x:c>
      <x:c r="AF58" s="14" t="n">
        <x:f>-AH58+0.2*AG58</x:f>
        <x:v>-0.2</x:v>
      </x:c>
      <x:c r="AG58" s="14" t="n">
        <x:f>IFERROR((AI58-AVERAGE($AI$5:$AI$65))/STDEV.P($AI$5:$AI$65),0)</x:f>
        <x:v>0</x:v>
      </x:c>
      <x:c r="AH58" s="14" t="n">
        <x:v>0.2</x:v>
      </x:c>
      <x:c r="AI58" s="14"/>
      <x:c r="AJ58" s="14"/>
      <x:c r="AK58" s="13" t="str">
        <x:v>2026Q1</x:v>
      </x:c>
      <x:c r="AL58" s="13"/>
      <x:c r="AM58" s="13" t="str">
        <x:v>No</x:v>
      </x:c>
      <x:c r="AN58" s="10" t="str">
        <x:v>历史加速 -1.8ppt / 无forecast不扣分</x:v>
      </x:c>
      <x:c r="AO58" s="10" t="str">
        <x:v>https://www.sec.gov/Archives/edgar/data/105634/000010563426000046/0000105634-26-000046-index.html</x:v>
      </x:c>
      <x:c r="AP58" s="10" t="str">
        <x:v>SEC Companyfacts CY2026Q1: revenue $4.628B, gross profit $0.864B, net income $0.305B</x:v>
      </x:c>
    </x:row>
    <x:row r="59">
      <x:c r="A59" s="13" t="n">
        <x:v>55</x:v>
      </x:c>
      <x:c r="B59" s="13" t="str">
        <x:v>SNDK</x:v>
      </x:c>
      <x:c r="C59" s="13" t="str">
        <x:v>Sandisk</x:v>
      </x:c>
      <x:c r="D59" s="13" t="str">
        <x:v>NAND</x:v>
      </x:c>
      <x:c r="E59" s="13" t="str">
        <x:v>Watch</x:v>
      </x:c>
      <x:c r="F59" s="13" t="n">
        <x:v>0</x:v>
      </x:c>
      <x:c r="G59" s="14" t="n">
        <x:f>IFERROR((H59-MIN($H$5:$H$65)+0.5)/(SUM($H$5:$H$65)-COUNT($H$5:$H$65)*MIN($H$5:$H$65)+0.5*COUNT($H$5:$H$65))*100,"")</x:f>
        <x:v>2.7701177879386316</x:v>
      </x:c>
      <x:c r="H59" s="14" t="n">
        <x:f>$C$2*2*(N59/10)+$E$2*S59+$G$2*Y59+$I$2*AE59+$K$2*AJ59</x:f>
        <x:v>1.0839820625386247</x:v>
      </x:c>
      <x:c r="I59" s="14" t="n">
        <x:f>$C$2*2*(N59/10)</x:f>
        <x:v>0.264</x:v>
      </x:c>
      <x:c r="J59" s="14" t="n">
        <x:f>$E$2*S59</x:f>
        <x:v>0.5825080376666854</x:v>
      </x:c>
      <x:c r="K59" s="14" t="n">
        <x:f>$G$2*Y59</x:f>
        <x:v>0.2903532736385729</x:v>
      </x:c>
      <x:c r="L59" s="14" t="n">
        <x:f>$I$2*AE59</x:f>
        <x:v>-0.05287924876663346</x:v>
      </x:c>
      <x:c r="M59" s="14" t="n">
        <x:f>$K$2*AJ59</x:f>
        <x:v>0</x:v>
      </x:c>
      <x:c r="N59" s="15" t="n">
        <x:v>6</x:v>
      </x:c>
      <x:c r="O59" s="15" t="n">
        <x:v>252.0710059171598</x:v>
      </x:c>
      <x:c r="P59" s="15" t="n">
        <x:v>23.98555010591856</x:v>
      </x:c>
      <x:c r="Q59" s="14" t="n">
        <x:f>IFERROR((O59-AVERAGE($O$5:$O$65))/STDEV.P($O$5:$O$65),0)</x:f>
        <x:v>4.262217025044607</x:v>
      </x:c>
      <x:c r="R59" s="14" t="n">
        <x:f>IFERROR((P59-AVERAGE($P$5:$P$65))/STDEV.P($P$5:$P$65),0)</x:f>
        <x:v>0.4059974915840916</x:v>
      </x:c>
      <x:c r="S59" s="14" t="n">
        <x:f>0.65*Q59+0.35*R59</x:f>
        <x:v>2.9125401883334265</x:v>
      </x:c>
      <x:c r="T59" s="15" t="n">
        <x:v>78.35</x:v>
      </x:c>
      <x:c r="U59" s="15" t="n">
        <x:v>60.76</x:v>
      </x:c>
      <x:c r="V59" s="15" t="n">
        <x:v>60</x:v>
      </x:c>
      <x:c r="W59" s="14" t="n">
        <x:f>IFERROR((T59-AVERAGE($T$5:$T$65))/STDEV.P($T$5:$T$65),0)</x:f>
        <x:v>1.2066716539547515</x:v>
      </x:c>
      <x:c r="X59" s="14" t="n">
        <x:f>IFERROR((V59-AVERAGE($V$5:$V$65))/STDEV.P($V$5:$V$65),0)</x:f>
        <x:v>1.819408439550033</x:v>
      </x:c>
      <x:c r="Y59" s="14" t="n">
        <x:f>0.6*W59+0.4*X59</x:f>
        <x:v>1.4517663681928643</x:v>
      </x:c>
      <x:c r="Z59" s="15" t="n">
        <x:v>2285</x:v>
      </x:c>
      <x:c r="AA59" s="15" t="n">
        <x:v>-0.932</x:v>
      </x:c>
      <x:c r="AB59" s="15" t="n">
        <x:v>-3.92</x:v>
      </x:c>
      <x:c r="AC59" s="15" t="n">
        <x:v>-0.368</x:v>
      </x:c>
      <x:c r="AD59" s="14" t="n">
        <x:v>7.4195550013589395</x:v>
      </x:c>
      <x:c r="AE59" s="14" t="n">
        <x:f>IFERROR((AD59-AVERAGE($AD$5:$AD$65))/STDEV.P($AD$5:$AD$65),0)</x:f>
        <x:v>-0.2937736042590748</x:v>
      </x:c>
      <x:c r="AF59" s="14" t="n">
        <x:f>-AH59+0.2*AG59</x:f>
        <x:v>-3.7521125493096648</x:v>
      </x:c>
      <x:c r="AG59" s="14" t="n">
        <x:f>IFERROR((AI59-AVERAGE($AI$5:$AI$65))/STDEV.P($AI$5:$AI$65),0)</x:f>
        <x:v>0</x:v>
      </x:c>
      <x:c r="AH59" s="14" t="n">
        <x:v>3.7521125493096648</x:v>
      </x:c>
      <x:c r="AI59" s="14"/>
      <x:c r="AJ59" s="14"/>
      <x:c r="AK59" s="13" t="str">
        <x:v>2026Q1</x:v>
      </x:c>
      <x:c r="AL59" s="13" t="n">
        <x:v>80</x:v>
      </x:c>
      <x:c r="AM59" s="13" t="str">
        <x:v>Yes</x:v>
      </x:c>
      <x:c r="AN59" s="10" t="str">
        <x:v>历史加速 46.9ppt / 前瞻 -29.4ppt</x:v>
      </x:c>
      <x:c r="AO59" s="10" t="str">
        <x:v>https://www.sec.gov/Archives/edgar/data/2023554/000162828026029401/0001628280-26-029401-index.html</x:v>
      </x:c>
      <x:c r="AP59" s="10" t="str">
        <x:v>SEC Companyfacts CY2026Q1: revenue $5.950B, gross profit $4.662B, net income $3.615B</x:v>
      </x:c>
    </x:row>
    <x:row r="60">
      <x:c r="A60" s="13" t="n">
        <x:v>56</x:v>
      </x:c>
      <x:c r="B60" s="13" t="str">
        <x:v>ASE</x:v>
      </x:c>
      <x:c r="C60" s="13" t="str">
        <x:v>ASE Technology</x:v>
      </x:c>
      <x:c r="D60" s="13" t="str">
        <x:v>封测</x:v>
      </x:c>
      <x:c r="E60" s="13" t="str">
        <x:v>Watch</x:v>
      </x:c>
      <x:c r="F60" s="13" t="n">
        <x:v>0</x:v>
      </x:c>
      <x:c r="G60" s="14" t="n">
        <x:f>IFERROR((H60-MIN($H$5:$H$65)+0.5)/(SUM($H$5:$H$65)-COUNT($H$5:$H$65)*MIN($H$5:$H$65)+0.5*COUNT($H$5:$H$65))*100,"")</x:f>
        <x:v>1.0245991927583222</x:v>
      </x:c>
      <x:c r="H60" s="14" t="n">
        <x:f>$C$2*2*(N60/10)+$E$2*S60+$G$2*Y60+$I$2*AE60+$K$2*AJ60</x:f>
        <x:v>-0.0793456502748589</x:v>
      </x:c>
      <x:c r="I60" s="14" t="n">
        <x:f>$C$2*2*(N60/10)</x:f>
        <x:v>0.35200000000000004</x:v>
      </x:c>
      <x:c r="J60" s="14" t="n">
        <x:f>$E$2*S60</x:f>
        <x:v>-0.07625443227265459</x:v>
      </x:c>
      <x:c r="K60" s="14" t="n">
        <x:f>$G$2*Y60</x:f>
        <x:v>-0.22563206134141384</x:v>
      </x:c>
      <x:c r="L60" s="14" t="n">
        <x:f>$I$2*AE60</x:f>
        <x:v>-0.1294591566607905</x:v>
      </x:c>
      <x:c r="M60" s="14" t="n">
        <x:f>$K$2*AJ60</x:f>
        <x:v>0</x:v>
      </x:c>
      <x:c r="N60" s="15" t="n">
        <x:v>8</x:v>
      </x:c>
      <x:c r="O60" s="15" t="n">
        <x:v>17.105263157894733</x:v>
      </x:c>
      <x:c r="P60" s="15" t="n">
        <x:v>-5.294721754527498</x:v>
      </x:c>
      <x:c r="Q60" s="14" t="n">
        <x:f>IFERROR((O60-AVERAGE($O$5:$O$65))/STDEV.P($O$5:$O$65),0)</x:f>
        <x:v>-0.4618735336736961</x:v>
      </x:c>
      <x:c r="R60" s="14" t="n">
        <x:f>IFERROR((P60-AVERAGE($P$5:$P$65))/STDEV.P($P$5:$P$65),0)</x:f>
        <x:v>-0.2315838985010584</x:v>
      </x:c>
      <x:c r="S60" s="14" t="n">
        <x:f>0.65*Q60+0.35*R60</x:f>
        <x:v>-0.3812721613632729</x:v>
      </x:c>
      <x:c r="T60" s="15" t="n">
        <x:v>20.1</x:v>
      </x:c>
      <x:c r="U60" s="15" t="n">
        <x:v>8.1</x:v>
      </x:c>
      <x:c r="V60" s="15" t="n">
        <x:v>8.1</x:v>
      </x:c>
      <x:c r="W60" s="14" t="n">
        <x:f>IFERROR((T60-AVERAGE($T$5:$T$65))/STDEV.P($T$5:$T$65),0)</x:f>
        <x:v>-1.4726132551953468</x:v>
      </x:c>
      <x:c r="X60" s="14" t="n">
        <x:f>IFERROR((V60-AVERAGE($V$5:$V$65))/STDEV.P($V$5:$V$65),0)</x:f>
        <x:v>-0.6114808839746525</x:v>
      </x:c>
      <x:c r="Y60" s="14" t="n">
        <x:f>0.6*W60+0.4*X60</x:f>
        <x:v>-1.1281603067070691</x:v>
      </x:c>
      <x:c r="Z60" s="15" t="n">
        <x:v>250</x:v>
      </x:c>
      <x:c r="AA60" s="15" t="n">
        <x:v>1.906</x:v>
      </x:c>
      <x:c r="AB60" s="15" t="n">
        <x:v>8.92</x:v>
      </x:c>
      <x:c r="AC60" s="15"/>
      <x:c r="AD60" s="14" t="n">
        <x:v>6.427080879588902</x:v>
      </x:c>
      <x:c r="AE60" s="14" t="n">
        <x:f>IFERROR((AD60-AVERAGE($AD$5:$AD$65))/STDEV.P($AD$5:$AD$65),0)</x:f>
        <x:v>-0.7192175370043916</x:v>
      </x:c>
      <x:c r="AF60" s="14" t="n">
        <x:f>-AH60+0.2*AG60</x:f>
        <x:v>-0.56225</x:v>
      </x:c>
      <x:c r="AG60" s="14" t="n">
        <x:f>IFERROR((AI60-AVERAGE($AI$5:$AI$65))/STDEV.P($AI$5:$AI$65),0)</x:f>
        <x:v>0</x:v>
      </x:c>
      <x:c r="AH60" s="14" t="n">
        <x:v>0.56225</x:v>
      </x:c>
      <x:c r="AI60" s="14"/>
      <x:c r="AJ60" s="14"/>
      <x:c r="AK60" s="13" t="str">
        <x:v>2026Q1</x:v>
      </x:c>
      <x:c r="AL60" s="13"/>
      <x:c r="AM60" s="13" t="str">
        <x:v>No</x:v>
      </x:c>
      <x:c r="AN60" s="10" t="str">
        <x:v>历史加速 -5.3ppt / 无forecast不扣分</x:v>
      </x:c>
      <x:c r="AO60" s="10" t="str">
        <x:v>https://www.prnewswire.com/news-releases/ase-technology-holding-co-ltd-reports-its-unaudited-consolidated-financial-results-for-the-first-quarter-of-2026-302756590.html</x:v>
      </x:c>
      <x:c r="AP60" s="10" t="str">
        <x:v>Q1 2026 actual: NT$173.662B revenue, NT$14.148B net income; converted at approx. 32.5 NTD/USD</x:v>
      </x:c>
    </x:row>
    <x:row r="61">
      <x:c r="A61" s="13" t="n">
        <x:v>57</x:v>
      </x:c>
      <x:c r="B61" s="13" t="str">
        <x:v>FN</x:v>
      </x:c>
      <x:c r="C61" s="13" t="str">
        <x:v>Fabrinet</x:v>
      </x:c>
      <x:c r="D61" s="13" t="str">
        <x:v>光器件制造</x:v>
      </x:c>
      <x:c r="E61" s="13" t="str">
        <x:v>Watch</x:v>
      </x:c>
      <x:c r="F61" s="13" t="n">
        <x:v>0</x:v>
      </x:c>
      <x:c r="G61" s="14" t="n">
        <x:f>IFERROR((H61-MIN($H$5:$H$65)+0.5)/(SUM($H$5:$H$65)-COUNT($H$5:$H$65)*MIN($H$5:$H$65)+0.5*COUNT($H$5:$H$65))*100,"")</x:f>
        <x:v>0.9344514451261375</x:v>
      </x:c>
      <x:c r="H61" s="14" t="n">
        <x:f>$C$2*2*(N61/10)+$E$2*S61+$G$2*Y61+$I$2*AE61+$K$2*AJ61</x:f>
        <x:v>-0.13942600310398662</x:v>
      </x:c>
      <x:c r="I61" s="14" t="n">
        <x:f>$C$2*2*(N61/10)</x:f>
        <x:v>0.308</x:v>
      </x:c>
      <x:c r="J61" s="14" t="n">
        <x:f>$E$2*S61</x:f>
        <x:v>-0.008211939408694028</x:v>
      </x:c>
      <x:c r="K61" s="14" t="n">
        <x:f>$G$2*Y61</x:f>
        <x:v>-0.2626666748431868</x:v>
      </x:c>
      <x:c r="L61" s="14" t="n">
        <x:f>$I$2*AE61</x:f>
        <x:v>-0.1765473888521058</x:v>
      </x:c>
      <x:c r="M61" s="14" t="n">
        <x:f>$K$2*AJ61</x:f>
        <x:v>0</x:v>
      </x:c>
      <x:c r="N61" s="15" t="n">
        <x:v>7</x:v>
      </x:c>
      <x:c r="O61" s="15" t="n">
        <x:v>39.08045977011494</x:v>
      </x:c>
      <x:c r="P61" s="15" t="n">
        <x:v>1.6632539045143186</x:v>
      </x:c>
      <x:c r="Q61" s="14" t="n">
        <x:f>IFERROR((O61-AVERAGE($O$5:$O$65))/STDEV.P($O$5:$O$65),0)</x:f>
        <x:v>-0.020052451065370094</x:v>
      </x:c>
      <x:c r="R61" s="14" t="n">
        <x:f>IFERROR((P61-AVERAGE($P$5:$P$65))/STDEV.P($P$5:$P$65),0)</x:f>
        <x:v>-0.08007315385994165</x:v>
      </x:c>
      <x:c r="S61" s="14" t="n">
        <x:f>0.65*Q61+0.35*R61</x:f>
        <x:v>-0.041059697043470136</x:v>
      </x:c>
      <x:c r="T61" s="15" t="n">
        <x:v>11.89</x:v>
      </x:c>
      <x:c r="U61" s="15" t="n">
        <x:v>10.31</x:v>
      </x:c>
      <x:c r="V61" s="15" t="n">
        <x:v>10.31</x:v>
      </x:c>
      <x:c r="W61" s="14" t="n">
        <x:f>IFERROR((T61-AVERAGE($T$5:$T$65))/STDEV.P($T$5:$T$65),0)</x:f>
        <x:v>-1.8502429393862878</x:v>
      </x:c>
      <x:c r="X61" s="14" t="n">
        <x:f>IFERROR((V61-AVERAGE($V$5:$V$65))/STDEV.P($V$5:$V$65),0)</x:f>
        <x:v>-0.5079690264604029</x:v>
      </x:c>
      <x:c r="Y61" s="14" t="n">
        <x:f>0.6*W61+0.4*X61</x:f>
        <x:v>-1.3133333742159339</x:v>
      </x:c>
      <x:c r="Z61" s="15" t="n">
        <x:v>253</x:v>
      </x:c>
      <x:c r="AA61" s="15" t="n">
        <x:v>0.152</x:v>
      </x:c>
      <x:c r="AB61" s="15" t="n">
        <x:v>3.14</x:v>
      </x:c>
      <x:c r="AC61" s="15" t="n">
        <x:v>0.285</x:v>
      </x:c>
      <x:c r="AD61" s="14" t="n">
        <x:v>5.816818303217418</x:v>
      </x:c>
      <x:c r="AE61" s="14" t="n">
        <x:f>IFERROR((AD61-AVERAGE($AD$5:$AD$65))/STDEV.P($AD$5:$AD$65),0)</x:f>
        <x:v>-0.9808188269561433</x:v>
      </x:c>
      <x:c r="AF61" s="14" t="n">
        <x:f>-AH61+0.2*AG61</x:f>
        <x:v>-0.65</x:v>
      </x:c>
      <x:c r="AG61" s="14" t="n">
        <x:f>IFERROR((AI61-AVERAGE($AI$5:$AI$65))/STDEV.P($AI$5:$AI$65),0)</x:f>
        <x:v>0</x:v>
      </x:c>
      <x:c r="AH61" s="14" t="n">
        <x:v>0.65</x:v>
      </x:c>
      <x:c r="AI61" s="14"/>
      <x:c r="AJ61" s="14"/>
      <x:c r="AK61" s="13" t="str">
        <x:v>2026Q1</x:v>
      </x:c>
      <x:c r="AL61" s="13" t="n">
        <x:v>12.7</x:v>
      </x:c>
      <x:c r="AM61" s="13" t="str">
        <x:v>Yes</x:v>
      </x:c>
      <x:c r="AN61" s="10" t="str">
        <x:v>历史加速 5.0ppt / 前瞻 -6.2ppt</x:v>
      </x:c>
      <x:c r="AO61" s="10" t="str">
        <x:v>https://www.sec.gov/Archives/edgar/data/1408710/000140871026000016/0001408710-26-000016-index.html</x:v>
      </x:c>
      <x:c r="AP61" s="10" t="str">
        <x:v>SEC Companyfacts CY2026Q1: revenue $1.214B, gross profit $0.144B, net income $0.125B</x:v>
      </x:c>
    </x:row>
    <x:row r="62">
      <x:c r="A62" s="13" t="n">
        <x:v>58</x:v>
      </x:c>
      <x:c r="B62" s="13" t="str">
        <x:v>MOD</x:v>
      </x:c>
      <x:c r="C62" s="13" t="str">
        <x:v>Modine Manufacturing</x:v>
      </x:c>
      <x:c r="D62" s="13" t="str">
        <x:v>热管理</x:v>
      </x:c>
      <x:c r="E62" s="13" t="str">
        <x:v>Watch</x:v>
      </x:c>
      <x:c r="F62" s="13" t="n">
        <x:v>0</x:v>
      </x:c>
      <x:c r="G62" s="14" t="n">
        <x:f>IFERROR((H62-MIN($H$5:$H$65)+0.5)/(SUM($H$5:$H$65)-COUNT($H$5:$H$65)*MIN($H$5:$H$65)+0.5*COUNT($H$5:$H$65))*100,"")</x:f>
        <x:v>0.770416438179064</x:v>
      </x:c>
      <x:c r="H62" s="14" t="n">
        <x:f>$C$2*2*(N62/10)+$E$2*S62+$G$2*Y62+$I$2*AE62+$K$2*AJ62</x:f>
        <x:v>-0.24874965624637607</x:v>
      </x:c>
      <x:c r="I62" s="14" t="n">
        <x:f>$C$2*2*(N62/10)</x:f>
        <x:v>0.308</x:v>
      </x:c>
      <x:c r="J62" s="14" t="n">
        <x:f>$E$2*S62</x:f>
        <x:v>-0.07757429082826613</x:v>
      </x:c>
      <x:c r="K62" s="14" t="n">
        <x:f>$G$2*Y62</x:f>
        <x:v>-0.213883939021337</x:v>
      </x:c>
      <x:c r="L62" s="14" t="n">
        <x:f>$I$2*AE62</x:f>
        <x:v>-0.26529142639677294</x:v>
      </x:c>
      <x:c r="M62" s="14" t="n">
        <x:f>$K$2*AJ62</x:f>
        <x:v>0</x:v>
      </x:c>
      <x:c r="N62" s="15" t="n">
        <x:v>7</x:v>
      </x:c>
      <x:c r="O62" s="15" t="n">
        <x:v>0</x:v>
      </x:c>
      <x:c r="P62" s="15" t="n">
        <x:v>23.17046664827882</x:v>
      </x:c>
      <x:c r="Q62" s="14" t="n">
        <x:f>IFERROR((O62-AVERAGE($O$5:$O$65))/STDEV.P($O$5:$O$65),0)</x:f>
        <x:v>-0.8057824424348913</x:v>
      </x:c>
      <x:c r="R62" s="14" t="n">
        <x:f>IFERROR((P62-AVERAGE($P$5:$P$65))/STDEV.P($P$5:$P$65),0)</x:f>
        <x:v>0.38824895268956783</x:v>
      </x:c>
      <x:c r="S62" s="14" t="n">
        <x:f>0.65*Q62+0.35*R62</x:f>
        <x:v>-0.3878714541413306</x:v>
      </x:c>
      <x:c r="T62" s="15" t="n">
        <x:v>22.5</x:v>
      </x:c>
      <x:c r="U62" s="15" t="n">
        <x:v>7.7</x:v>
      </x:c>
      <x:c r="V62" s="15" t="n">
        <x:v>7.7</x:v>
      </x:c>
      <x:c r="W62" s="14" t="n">
        <x:f>IFERROR((T62-AVERAGE($T$5:$T$65))/STDEV.P($T$5:$T$65),0)</x:f>
        <x:v>-1.3622221173076177</x:v>
      </x:c>
      <x:c r="X62" s="14" t="n">
        <x:f>IFERROR((V62-AVERAGE($V$5:$V$65))/STDEV.P($V$5:$V$65),0)</x:f>
        <x:v>-0.630216061805286</x:v>
      </x:c>
      <x:c r="Y62" s="14" t="n">
        <x:f>0.6*W62+0.4*X62</x:f>
        <x:v>-1.069419695106685</x:v>
      </x:c>
      <x:c r="Z62" s="15" t="n">
        <x:v>80</x:v>
      </x:c>
      <x:c r="AA62" s="15" t="n">
        <x:v>0.127</x:v>
      </x:c>
      <x:c r="AB62" s="15" t="n">
        <x:v>3.34</x:v>
      </x:c>
      <x:c r="AC62" s="15" t="n">
        <x:v>-0.054</x:v>
      </x:c>
      <x:c r="AD62" s="14" t="n">
        <x:v>4.666697296984256</x:v>
      </x:c>
      <x:c r="AE62" s="14" t="n">
        <x:f>IFERROR((AD62-AVERAGE($AD$5:$AD$65))/STDEV.P($AD$5:$AD$65),0)</x:f>
        <x:v>-1.4738412577598499</x:v>
      </x:c>
      <x:c r="AF62" s="14" t="n">
        <x:f>-AH62+0.2*AG62</x:f>
        <x:v>-0.42155</x:v>
      </x:c>
      <x:c r="AG62" s="14" t="n">
        <x:f>IFERROR((AI62-AVERAGE($AI$5:$AI$65))/STDEV.P($AI$5:$AI$65),0)</x:f>
        <x:v>0</x:v>
      </x:c>
      <x:c r="AH62" s="14" t="n">
        <x:v>0.42155</x:v>
      </x:c>
      <x:c r="AI62" s="14"/>
      <x:c r="AJ62" s="14"/>
      <x:c r="AK62" s="13" t="str">
        <x:v>2026Q1</x:v>
      </x:c>
      <x:c r="AL62" s="13"/>
      <x:c r="AM62" s="13" t="str">
        <x:v>No</x:v>
      </x:c>
      <x:c r="AN62" s="10" t="str">
        <x:v>历史加速 23.2ppt / 无forecast不扣分</x:v>
      </x:c>
      <x:c r="AO62" s="10" t="str">
        <x:v>https://www.prnewswire.com/news-releases/modine-reports-fourth-quarter-fiscal-2026-results-302782279.html</x:v>
      </x:c>
      <x:c r="AP62" s="10" t="str">
        <x:v>FQ4 FY2026 (Jan-Mar 2026): 营收$9.5亿同比+47%创纪录, 数据中心冷却需求强劲; 毛利率因产能扩张+关税压力降至22.5%; 全年营收$31.8亿</x:v>
      </x:c>
    </x:row>
    <x:row r="63">
      <x:c r="A63" s="13" t="n">
        <x:v>59</x:v>
      </x:c>
      <x:c r="B63" s="13" t="str">
        <x:v>NRG</x:v>
      </x:c>
      <x:c r="C63" s="13" t="str">
        <x:v>NRG Energy</x:v>
      </x:c>
      <x:c r="D63" s="13" t="str">
        <x:v>零售电力</x:v>
      </x:c>
      <x:c r="E63" s="13" t="str">
        <x:v>Watch</x:v>
      </x:c>
      <x:c r="F63" s="13" t="n">
        <x:v>0</x:v>
      </x:c>
      <x:c r="G63" s="14" t="n">
        <x:f>IFERROR((H63-MIN($H$5:$H$65)+0.5)/(SUM($H$5:$H$65)-COUNT($H$5:$H$65)*MIN($H$5:$H$65)+0.5*COUNT($H$5:$H$65))*100,"")</x:f>
        <x:v>0.7852294829389128</x:v>
      </x:c>
      <x:c r="H63" s="14" t="n">
        <x:f>$C$2*2*(N63/10)+$E$2*S63+$G$2*Y63+$I$2*AE63+$K$2*AJ63</x:f>
        <x:v>-0.238877274750206</x:v>
      </x:c>
      <x:c r="I63" s="14" t="n">
        <x:f>$C$2*2*(N63/10)</x:f>
        <x:v>0.308</x:v>
      </x:c>
      <x:c r="J63" s="14" t="n">
        <x:f>$E$2*S63</x:f>
        <x:v>-0.02955248725910078</x:v>
      </x:c>
      <x:c r="K63" s="14" t="n">
        <x:f>$G$2*Y63</x:f>
        <x:v>-0.28712319914304585</x:v>
      </x:c>
      <x:c r="L63" s="14" t="n">
        <x:f>$I$2*AE63</x:f>
        <x:v>-0.2302015883480594</x:v>
      </x:c>
      <x:c r="M63" s="14" t="n">
        <x:f>$K$2*AJ63</x:f>
        <x:v>0</x:v>
      </x:c>
      <x:c r="N63" s="15" t="n">
        <x:v>7</x:v>
      </x:c>
      <x:c r="O63" s="15" t="n">
        <x:v>19.580419580419584</x:v>
      </x:c>
      <x:c r="P63" s="15" t="n">
        <x:v>21.100154816176182</x:v>
      </x:c>
      <x:c r="Q63" s="14" t="n">
        <x:f>IFERROR((O63-AVERAGE($O$5:$O$65))/STDEV.P($O$5:$O$65),0)</x:f>
        <x:v>-0.4121094150847979</x:v>
      </x:c>
      <x:c r="R63" s="14" t="n">
        <x:f>IFERROR((P63-AVERAGE($P$5:$P$65))/STDEV.P($P$5:$P$65),0)</x:f>
        <x:v>0.343167667170328</x:v>
      </x:c>
      <x:c r="S63" s="14" t="n">
        <x:f>0.65*Q63+0.35*R63</x:f>
        <x:v>-0.1477624362955039</x:v>
      </x:c>
      <x:c r="T63" s="15" t="n">
        <x:v>13.63</x:v>
      </x:c>
      <x:c r="U63" s="15" t="n">
        <x:v>1.22</x:v>
      </x:c>
      <x:c r="V63" s="15" t="n">
        <x:v>1.22</x:v>
      </x:c>
      <x:c r="W63" s="14" t="n">
        <x:f>IFERROR((T63-AVERAGE($T$5:$T$65))/STDEV.P($T$5:$T$65),0)</x:f>
        <x:v>-1.770209364417684</x:v>
      </x:c>
      <x:c r="X63" s="14" t="n">
        <x:f>IFERROR((V63-AVERAGE($V$5:$V$65))/STDEV.P($V$5:$V$65),0)</x:f>
        <x:v>-0.9337259426615473</x:v>
      </x:c>
      <x:c r="Y63" s="14" t="n">
        <x:f>0.6*W63+0.4*X63</x:f>
        <x:v>-1.4356159957152292</x:v>
      </x:c>
      <x:c r="Z63" s="15" t="n">
        <x:v>250</x:v>
      </x:c>
      <x:c r="AA63" s="15" t="n">
        <x:v>-0.819</x:v>
      </x:c>
      <x:c r="AB63" s="15" t="n">
        <x:v>-2</x:v>
      </x:c>
      <x:c r="AC63" s="15" t="n">
        <x:v>-11.868</x:v>
      </x:c>
      <x:c r="AD63" s="14" t="n">
        <x:v>5.121460917862246</x:v>
      </x:c>
      <x:c r="AE63" s="14" t="n">
        <x:f>IFERROR((AD63-AVERAGE($AD$5:$AD$65))/STDEV.P($AD$5:$AD$65),0)</x:f>
        <x:v>-1.2788977130447745</x:v>
      </x:c>
      <x:c r="AF63" s="14" t="n">
        <x:f>-AH63+0.2*AG63</x:f>
        <x:v>-0.45</x:v>
      </x:c>
      <x:c r="AG63" s="14" t="n">
        <x:f>IFERROR((AI63-AVERAGE($AI$5:$AI$65))/STDEV.P($AI$5:$AI$65),0)</x:f>
        <x:v>0</x:v>
      </x:c>
      <x:c r="AH63" s="14" t="n">
        <x:v>0.45</x:v>
      </x:c>
      <x:c r="AI63" s="14"/>
      <x:c r="AJ63" s="14"/>
      <x:c r="AK63" s="13" t="str">
        <x:v>2026Q1</x:v>
      </x:c>
      <x:c r="AL63" s="13"/>
      <x:c r="AM63" s="13" t="str">
        <x:v>No</x:v>
      </x:c>
      <x:c r="AN63" s="10" t="str">
        <x:v>历史加速 21.1ppt / 无forecast不扣分</x:v>
      </x:c>
      <x:c r="AO63" s="10" t="str">
        <x:v>https://www.sec.gov/Archives/edgar/data/1013871/000101387126000012/0001013871-26-000012-index.html</x:v>
      </x:c>
      <x:c r="AP63" s="10" t="str">
        <x:v>SEC Companyfacts CY2026Q1: revenue $10.256B, gross profit $1.398B (revenue minus CostOfGoodsAndServiceExcludingDepreciationDepletionAndAmortization $8.858B), net income $0.125B</x:v>
      </x:c>
    </x:row>
    <x:row r="64">
      <x:c r="A64" s="13" t="n">
        <x:v>60</x:v>
      </x:c>
      <x:c r="B64" s="13" t="str">
        <x:v>FIX</x:v>
      </x:c>
      <x:c r="C64" s="13" t="str">
        <x:v>Comfort Systems</x:v>
      </x:c>
      <x:c r="D64" s="13" t="str">
        <x:v>暖通工程</x:v>
      </x:c>
      <x:c r="E64" s="13" t="str">
        <x:v>Watch</x:v>
      </x:c>
      <x:c r="F64" s="13" t="n">
        <x:v>0</x:v>
      </x:c>
      <x:c r="G64" s="14" t="n">
        <x:f>IFERROR((H64-MIN($H$5:$H$65)+0.5)/(SUM($H$5:$H$65)-COUNT($H$5:$H$65)*MIN($H$5:$H$65)+0.5*COUNT($H$5:$H$65))*100,"")</x:f>
        <x:v>0.7897759257539593</x:v>
      </x:c>
      <x:c r="H64" s="14" t="n">
        <x:f>$C$2*2*(N64/10)+$E$2*S64+$G$2*Y64+$I$2*AE64+$K$2*AJ64</x:f>
        <x:v>-0.2358472280144856</x:v>
      </x:c>
      <x:c r="I64" s="14" t="n">
        <x:f>$C$2*2*(N64/10)</x:f>
        <x:v>0.308</x:v>
      </x:c>
      <x:c r="J64" s="14" t="n">
        <x:f>$E$2*S64</x:f>
        <x:v>-0.20827588488227497</x:v>
      </x:c>
      <x:c r="K64" s="14" t="n">
        <x:f>$G$2*Y64</x:f>
        <x:v>-0.17314704010499427</x:v>
      </x:c>
      <x:c r="L64" s="14" t="n">
        <x:f>$I$2*AE64</x:f>
        <x:v>-0.16242430302721636</x:v>
      </x:c>
      <x:c r="M64" s="14" t="n">
        <x:f>$K$2*AJ64</x:f>
        <x:v>0</x:v>
      </x:c>
      <x:c r="N64" s="15" t="n">
        <x:v>7</x:v>
      </x:c>
      <x:c r="O64" s="15" t="n">
        <x:v>56.830601092896174</x:v>
      </x:c>
      <x:c r="P64" s="15" t="n">
        <x:v>-160.0269446752789</x:v>
      </x:c>
      <x:c r="Q64" s="14" t="n">
        <x:f>IFERROR((O64-AVERAGE($O$5:$O$65))/STDEV.P($O$5:$O$65),0)</x:f>
        <x:v>0.3368220194602273</x:v>
      </x:c>
      <x:c r="R64" s="14" t="n">
        <x:f>IFERROR((P64-AVERAGE($P$5:$P$65))/STDEV.P($P$5:$P$65),0)</x:f>
        <x:v>-3.6008963916014927</x:v>
      </x:c>
      <x:c r="S64" s="14" t="n">
        <x:f>0.65*Q64+0.35*R64</x:f>
        <x:v>-1.0413794244113748</x:v>
      </x:c>
      <x:c r="T64" s="15" t="n">
        <x:v>26.33</x:v>
      </x:c>
      <x:c r="U64" s="15" t="n">
        <x:v>12.93</x:v>
      </x:c>
      <x:c r="V64" s="15" t="n">
        <x:v>12.93</x:v>
      </x:c>
      <x:c r="W64" s="14" t="n">
        <x:f>IFERROR((T64-AVERAGE($T$5:$T$65))/STDEV.P($T$5:$T$65),0)</x:f>
        <x:v>-1.1860562597617827</x:v>
      </x:c>
      <x:c r="X64" s="14" t="n">
        <x:f>IFERROR((V64-AVERAGE($V$5:$V$65))/STDEV.P($V$5:$V$65),0)</x:f>
        <x:v>-0.3852536116697541</x:v>
      </x:c>
      <x:c r="Y64" s="14" t="n">
        <x:f>0.6*W64+0.4*X64</x:f>
        <x:v>-0.8657352005249713</x:v>
      </x:c>
      <x:c r="Z64" s="15" t="n">
        <x:v>250</x:v>
      </x:c>
      <x:c r="AA64" s="15" t="n">
        <x:v>0.545</x:v>
      </x:c>
      <x:c r="AB64" s="15" t="n">
        <x:v>4.75</x:v>
      </x:c>
      <x:c r="AC64" s="15" t="n">
        <x:v>0.837</x:v>
      </x:c>
      <x:c r="AD64" s="14" t="n">
        <x:v>5.999853221725194</x:v>
      </x:c>
      <x:c r="AE64" s="14" t="n">
        <x:f>IFERROR((AD64-AVERAGE($AD$5:$AD$65))/STDEV.P($AD$5:$AD$65),0)</x:f>
        <x:v>-0.9023572390400909</x:v>
      </x:c>
      <x:c r="AF64" s="14" t="n">
        <x:f>-AH64+0.2*AG64</x:f>
        <x:v>-0.6080999999999999</x:v>
      </x:c>
      <x:c r="AG64" s="14" t="n">
        <x:f>IFERROR((AI64-AVERAGE($AI$5:$AI$65))/STDEV.P($AI$5:$AI$65),0)</x:f>
        <x:v>0</x:v>
      </x:c>
      <x:c r="AH64" s="14" t="n">
        <x:v>0.6080999999999999</x:v>
      </x:c>
      <x:c r="AI64" s="14"/>
      <x:c r="AJ64" s="14"/>
      <x:c r="AK64" s="13" t="str">
        <x:v>2026Q1</x:v>
      </x:c>
      <x:c r="AL64" s="13"/>
      <x:c r="AM64" s="13" t="str">
        <x:v>No</x:v>
      </x:c>
      <x:c r="AN64" s="10" t="str">
        <x:v>历史加速 -160.0ppt / 无forecast不扣分</x:v>
      </x:c>
      <x:c r="AO64" s="10" t="str">
        <x:v>https://www.sec.gov/Archives/edgar/data/1035983/000110465926047689/0001104659-26-047689-index.html</x:v>
      </x:c>
      <x:c r="AP64" s="10" t="str">
        <x:v>SEC Companyfacts CY2026Q1: revenue $2.865B, gross profit $0.754B, net income $0.370B</x:v>
      </x:c>
    </x:row>
    <x:row r="65">
      <x:c r="A65" s="13" t="n">
        <x:v>61</x:v>
      </x:c>
      <x:c r="B65" s="13" t="str">
        <x:v>AMKR</x:v>
      </x:c>
      <x:c r="C65" s="13" t="str">
        <x:v>Amkor Technology</x:v>
      </x:c>
      <x:c r="D65" s="13" t="str">
        <x:v>封测</x:v>
      </x:c>
      <x:c r="E65" s="13" t="str">
        <x:v>Watch</x:v>
      </x:c>
      <x:c r="F65" s="13" t="n">
        <x:v>0</x:v>
      </x:c>
      <x:c r="G65" s="14" t="n">
        <x:f>IFERROR((H65-MIN($H$5:$H$65)+0.5)/(SUM($H$5:$H$65)-COUNT($H$5:$H$65)*MIN($H$5:$H$65)+0.5*COUNT($H$5:$H$65))*100,"")</x:f>
        <x:v>0.7502265165500139</x:v>
      </x:c>
      <x:c r="H65" s="14" t="n">
        <x:f>$C$2*2*(N65/10)+$E$2*S65+$G$2*Y65+$I$2*AE65+$K$2*AJ65</x:f>
        <x:v>-0.2622055400252481</x:v>
      </x:c>
      <x:c r="I65" s="14" t="n">
        <x:f>$C$2*2*(N65/10)</x:f>
        <x:v>0.308</x:v>
      </x:c>
      <x:c r="J65" s="14" t="n">
        <x:f>$E$2*S65</x:f>
        <x:v>-0.06789968405442078</x:v>
      </x:c>
      <x:c r="K65" s="14" t="n">
        <x:f>$G$2*Y65</x:f>
        <x:v>-0.27005580462053697</x:v>
      </x:c>
      <x:c r="L65" s="14" t="n">
        <x:f>$I$2*AE65</x:f>
        <x:v>-0.2322500513502904</x:v>
      </x:c>
      <x:c r="M65" s="14" t="n">
        <x:f>$K$2*AJ65</x:f>
        <x:v>0</x:v>
      </x:c>
      <x:c r="N65" s="15" t="n">
        <x:v>7</x:v>
      </x:c>
      <x:c r="O65" s="15" t="n">
        <x:v>27.272727272727295</x:v>
      </x:c>
      <x:c r="P65" s="15" t="n">
        <x:v>-17.24809680744154</x:v>
      </x:c>
      <x:c r="Q65" s="14" t="n">
        <x:f>IFERROR((O65-AVERAGE($O$5:$O$65))/STDEV.P($O$5:$O$65),0)</x:f>
        <x:v>-0.25745215434011803</x:v>
      </x:c>
      <x:c r="R65" s="14" t="n">
        <x:f>IFERROR((P65-AVERAGE($P$5:$P$65))/STDEV.P($P$5:$P$65),0)</x:f>
        <x:v>-0.4918700570029347</x:v>
      </x:c>
      <x:c r="S65" s="14" t="n">
        <x:f>0.65*Q65+0.35*R65</x:f>
        <x:v>-0.33949842027210386</x:v>
      </x:c>
      <x:c r="T65" s="15" t="n">
        <x:v>14.19</x:v>
      </x:c>
      <x:c r="U65" s="15" t="n">
        <x:v>4.95</x:v>
      </x:c>
      <x:c r="V65" s="15" t="n">
        <x:v>4.95</x:v>
      </x:c>
      <x:c r="W65" s="14" t="n">
        <x:f>IFERROR((T65-AVERAGE($T$5:$T$65))/STDEV.P($T$5:$T$65),0)</x:f>
        <x:v>-1.7444514322438807</x:v>
      </x:c>
      <x:c r="X65" s="14" t="n">
        <x:f>IFERROR((V65-AVERAGE($V$5:$V$65))/STDEV.P($V$5:$V$65),0)</x:f>
        <x:v>-0.7590204093908907</x:v>
      </x:c>
      <x:c r="Y65" s="14" t="n">
        <x:f>0.6*W65+0.4*X65</x:f>
        <x:v>-1.3502790231026847</x:v>
      </x:c>
      <x:c r="Z65" s="15" t="n">
        <x:v>80</x:v>
      </x:c>
      <x:c r="AA65" s="15" t="n">
        <x:v>0.521</x:v>
      </x:c>
      <x:c r="AB65" s="15" t="n">
        <x:v>7.75</x:v>
      </x:c>
      <x:c r="AC65" s="15" t="n">
        <x:v>0.232</x:v>
      </x:c>
      <x:c r="AD65" s="14" t="n">
        <x:v>5.09491287706377</x:v>
      </x:c>
      <x:c r="AE65" s="14" t="n">
        <x:f>IFERROR((AD65-AVERAGE($AD$5:$AD$65))/STDEV.P($AD$5:$AD$65),0)</x:f>
        <x:v>-1.2902780630571689</x:v>
      </x:c>
      <x:c r="AF65" s="14" t="n">
        <x:f>-AH65+0.2*AG65</x:f>
        <x:v>-0.6</x:v>
      </x:c>
      <x:c r="AG65" s="14" t="n">
        <x:f>IFERROR((AI65-AVERAGE($AI$5:$AI$65))/STDEV.P($AI$5:$AI$65),0)</x:f>
        <x:v>0</x:v>
      </x:c>
      <x:c r="AH65" s="14" t="n">
        <x:v>0.6</x:v>
      </x:c>
      <x:c r="AI65" s="14"/>
      <x:c r="AJ65" s="14"/>
      <x:c r="AK65" s="13" t="str">
        <x:v>2026Q1</x:v>
      </x:c>
      <x:c r="AL65" s="13" t="n">
        <x:v>18</x:v>
      </x:c>
      <x:c r="AM65" s="13" t="str">
        <x:v>Yes</x:v>
      </x:c>
      <x:c r="AN65" s="10" t="str">
        <x:v>历史加速 -31.2ppt / 前瞻 15.2ppt</x:v>
      </x:c>
      <x:c r="AO65" s="10" t="str">
        <x:v>https://www.sec.gov/Archives/edgar/data/1047127/000104712726000020/0001047127-26-000020-index.html</x:v>
      </x:c>
      <x:c r="AP65" s="10" t="str">
        <x:v>SEC Companyfacts CY2026Q1: revenue $1.685B, gross profit $0.239B, net income $0.083B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3.33000183105469" hidden="0" customWidth="1"/>
    <x:col min="3" max="3" width="33.33000183105469" hidden="0" customWidth="1"/>
    <x:col min="4" max="4" width="33.33000183105469" hidden="0" customWidth="1"/>
  </x:cols>
  <x:sheetData>
    <x:row r="1">
      <x:c r="A1" s="11" t="str">
        <x:v>Formula Notes / 模型口径</x:v>
      </x:c>
    </x:row>
    <x:row r="3">
      <x:c r="A3" s="5" t="str">
        <x:v>Factor</x:v>
      </x:c>
      <x:c r="B3" s="5" t="str">
        <x:v>Formula</x:v>
      </x:c>
      <x:c r="C3" s="5" t="str">
        <x:v>Inputs</x:v>
      </x:c>
      <x:c r="D3" s="5" t="str">
        <x:v>Notes</x:v>
      </x:c>
    </x:row>
    <x:row r="4">
      <x:c r="A4" s="10" t="str">
        <x:v>Composite</x:v>
      </x:c>
      <x:c r="B4" s="10" t="str">
        <x:v>Strategic + Growth + Profit + Durability + Risk</x:v>
      </x:c>
      <x:c r="C4" s="10" t="str">
        <x:v>Weights: 22% / 20% / 20% / 18% / 20%</x:v>
      </x:c>
      <x:c r="D4" s="10" t="str">
        <x:v>Excel formulas in detail sheets calculate the same components.</x:v>
      </x:c>
    </x:row>
    <x:row r="5">
      <x:c r="A5" s="10" t="str">
        <x:v>Strategic</x:v>
      </x:c>
      <x:c r="B5" s="10" t="str">
        <x:v>0.22 × (strategic / 10) × 2</x:v>
      </x:c>
      <x:c r="C5" s="10" t="str">
        <x:v>Raw strategic score from JSON</x:v>
      </x:c>
      <x:c r="D5" s="10" t="str">
        <x:v>Higher = stronger theme moat.</x:v>
      </x:c>
    </x:row>
    <x:row r="6">
      <x:c r="A6" s="10" t="str">
        <x:v>Growth</x:v>
      </x:c>
      <x:c r="B6" s="10" t="str">
        <x:v>0.20 × (0.65 × z(Revenue YoY) + 0.35 × z(Growth Momentum Raw))</x:v>
      </x:c>
      <x:c r="C6" s="10" t="str">
        <x:v>Forecast only if revenue guidance exists</x:v>
      </x:c>
      <x:c r="D6" s="10" t="str">
        <x:v>No forecast = use historical acceleration only; no automatic penalty.</x:v>
      </x:c>
    </x:row>
    <x:row r="7">
      <x:c r="A7" s="10" t="str">
        <x:v>Profit</x:v>
      </x:c>
      <x:c r="B7" s="10" t="str">
        <x:v>0.20 × (0.60 × z(GM) + 0.40 × z(NM clipped))</x:v>
      </x:c>
      <x:c r="C7" s="10" t="str">
        <x:v>NM clipped to -30% to 60%</x:v>
      </x:c>
      <x:c r="D7" s="10" t="str">
        <x:v>Prevents one extreme row from distorting the pool.</x:v>
      </x:c>
    </x:row>
    <x:row r="8">
      <x:c r="A8" s="10" t="str">
        <x:v>Durability</x:v>
      </x:c>
      <x:c r="B8" s="10" t="str">
        <x:v>0.18 × z(durabilityRaw)</x:v>
      </x:c>
      <x:c r="C8" s="10" t="str">
        <x:v>durabilityRaw = log(marketCap) + FCF margin + FCF + net cash adjustments</x:v>
      </x:c>
      <x:c r="D8" s="10" t="str">
        <x:v>A-share currently mainly market cap because reliable FCF field is not present.</x:v>
      </x:c>
    </x:row>
    <x:row r="9">
      <x:c r="A9" s="10" t="str">
        <x:v>Risk</x:v>
      </x:c>
      <x:c r="B9" s="10" t="str">
        <x:v>0.20 × z(-cyclePenalty + 0.20 × turnoverScore)</x:v>
      </x:c>
      <x:c r="C9" s="10" t="str">
        <x:v>Current page code cyclePenalty excludes hyperscalerFundingStress; computed stress reference = 0.182</x:v>
      </x:c>
      <x:c r="D9" s="10" t="str">
        <x:v>Lower industry/overheating risk and healthier turnover score higher.</x:v>
      </x:c>
    </x:row>
    <x:row r="10">
      <x:c r="A10" s="10" t="str">
        <x:v>Weight %</x:v>
      </x:c>
      <x:c r="B10" s="10" t="str">
        <x:v>(Composite - min Composite + 0.5) normalized to 100</x:v>
      </x:c>
      <x:c r="C10" s="10" t="str">
        <x:v>Calculated separately inside A-share and US pools</x:v>
      </x:c>
      <x:c r="D10" s="10" t="str">
        <x:v>Portfolio weights are separate 80/20 core-satellite rule.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5.889999866485596" hidden="0" customWidth="1"/>
    <x:col min="3" max="3" width="21.329999923706055" hidden="0" customWidth="1"/>
    <x:col min="4" max="4" width="35.560001373291016" hidden="0" customWidth="1"/>
  </x:cols>
  <x:sheetData>
    <x:row r="1">
      <x:c r="A1" s="5" t="str">
        <x:v>Market</x:v>
      </x:c>
      <x:c r="B1" s="5" t="str">
        <x:v>Code</x:v>
      </x:c>
      <x:c r="C1" s="5" t="str">
        <x:v>Name</x:v>
      </x:c>
      <x:c r="D1" s="5" t="str">
        <x:v>Reason</x:v>
      </x:c>
    </x:row>
    <x:row r="2">
      <x:c r="A2" t="str">
        <x:v>A-share</x:v>
      </x:c>
      <x:c r="B2" t="str">
        <x:v>300475</x:v>
      </x:c>
      <x:c r="C2" t="str">
        <x:v>香农芯创</x:v>
      </x:c>
      <x:c r="D2" t="str">
        <x:v>Less than 5 complete quarters</x:v>
      </x:c>
    </x:row>
    <x:row r="3">
      <x:c r="A3" t="str">
        <x:v>A-share</x:v>
      </x:c>
      <x:c r="B3" t="str">
        <x:v>300476</x:v>
      </x:c>
      <x:c r="C3" t="str">
        <x:v>胜宏科技</x:v>
      </x:c>
      <x:c r="D3" t="str">
        <x:v>Less than 5 complete quarters</x:v>
      </x:c>
    </x:row>
    <x:row r="4">
      <x:c r="A4" t="str">
        <x:v>A-share</x:v>
      </x:c>
      <x:c r="B4" t="str">
        <x:v>603019</x:v>
      </x:c>
      <x:c r="C4" t="str">
        <x:v>中科曙光</x:v>
      </x:c>
      <x:c r="D4" t="str">
        <x:v>Less than 5 complete quarters</x:v>
      </x:c>
    </x:row>
    <x:row r="5">
      <x:c r="A5" t="str">
        <x:v>A-share</x:v>
      </x:c>
      <x:c r="B5" t="str">
        <x:v>688041</x:v>
      </x:c>
      <x:c r="C5" t="str">
        <x:v>海光信息</x:v>
      </x:c>
      <x:c r="D5" t="str">
        <x:v>Less than 5 complete quarters</x:v>
      </x:c>
    </x:row>
    <x:row r="6">
      <x:c r="A6" t="str">
        <x:v>A-share</x:v>
      </x:c>
      <x:c r="B6" t="str">
        <x:v>688047</x:v>
      </x:c>
      <x:c r="C6" t="str">
        <x:v>龙芯中科</x:v>
      </x:c>
      <x:c r="D6" t="str">
        <x:v>Less than 5 complete quarters</x:v>
      </x:c>
    </x:row>
    <x:row r="7">
      <x:c r="A7" t="str">
        <x:v>A-share</x:v>
      </x:c>
      <x:c r="B7" t="str">
        <x:v>000977</x:v>
      </x:c>
      <x:c r="C7" t="str">
        <x:v>浪潮信息</x:v>
      </x:c>
      <x:c r="D7" t="str">
        <x:v>Less than 5 complete quarters</x:v>
      </x:c>
    </x:row>
    <x:row r="8">
      <x:c r="A8" t="str">
        <x:v>A-share</x:v>
      </x:c>
      <x:c r="B8" t="str">
        <x:v>002156</x:v>
      </x:c>
      <x:c r="C8" t="str">
        <x:v>通富微电</x:v>
      </x:c>
      <x:c r="D8" t="str">
        <x:v>Less than 5 complete quarters</x:v>
      </x:c>
    </x:row>
    <x:row r="9">
      <x:c r="A9" t="str">
        <x:v>A-share</x:v>
      </x:c>
      <x:c r="B9" t="str">
        <x:v>002371</x:v>
      </x:c>
      <x:c r="C9" t="str">
        <x:v>北方华创</x:v>
      </x:c>
      <x:c r="D9" t="str">
        <x:v>Less than 5 complete quarters</x:v>
      </x:c>
    </x:row>
    <x:row r="10">
      <x:c r="A10" t="str">
        <x:v>A-share</x:v>
      </x:c>
      <x:c r="B10" t="str">
        <x:v>002028</x:v>
      </x:c>
      <x:c r="C10" t="str">
        <x:v>思源电气</x:v>
      </x:c>
      <x:c r="D10" t="str">
        <x:v>Less than 5 complete quarters</x:v>
      </x:c>
    </x:row>
    <x:row r="11">
      <x:c r="A11" t="str">
        <x:v>A-share</x:v>
      </x:c>
      <x:c r="B11" t="str">
        <x:v>002335</x:v>
      </x:c>
      <x:c r="C11" t="str">
        <x:v>科华数据</x:v>
      </x:c>
      <x:c r="D11" t="str">
        <x:v>Less than 5 complete quarters</x:v>
      </x:c>
    </x:row>
    <x:row r="12">
      <x:c r="A12" t="str">
        <x:v>A-share</x:v>
      </x:c>
      <x:c r="B12" t="str">
        <x:v>002518</x:v>
      </x:c>
      <x:c r="C12" t="str">
        <x:v>科士达</x:v>
      </x:c>
      <x:c r="D12" t="str">
        <x:v>Less than 5 complete quarters</x:v>
      </x:c>
    </x:row>
    <x:row r="13">
      <x:c r="A13" t="str">
        <x:v>US</x:v>
      </x:c>
      <x:c r="B13" t="str">
        <x:v>SMH</x:v>
      </x:c>
      <x:c r="C13" t="str">
        <x:v>VanEck Semiconductor ETF</x:v>
      </x:c>
      <x:c r="D13" t="str">
        <x:v>No quarterly financial data / ETF or watch-only</x:v>
      </x:c>
    </x:row>
    <x:row r="14">
      <x:c r="A14" t="str">
        <x:v>US</x:v>
      </x:c>
      <x:c r="B14" t="str">
        <x:v>XLU</x:v>
      </x:c>
      <x:c r="C14" t="str">
        <x:v>Utilities Select Sector SPDR</x:v>
      </x:c>
      <x:c r="D14" t="str">
        <x:v>No quarterly financial data / ETF or watch-only</x:v>
      </x:c>
    </x:row>
    <x:row r="15">
      <x:c r="A15" t="str">
        <x:v>US</x:v>
      </x:c>
      <x:c r="B15" t="str">
        <x:v>COPX</x:v>
      </x:c>
      <x:c r="C15" t="str">
        <x:v>Global X Copper Miners ETF</x:v>
      </x:c>
      <x:c r="D15" t="str">
        <x:v>No quarterly financial data / ETF or watch-only</x:v>
      </x:c>
    </x:row>
    <x:row r="16">
      <x:c r="A16" t="str">
        <x:v>US</x:v>
      </x:c>
      <x:c r="B16" t="str">
        <x:v>XME</x:v>
      </x:c>
      <x:c r="C16" t="str">
        <x:v>SPDR Metals &amp; Mining</x:v>
      </x:c>
      <x:c r="D16" t="str">
        <x:v>No quarterly financial data / ETF or watch-only</x:v>
      </x:c>
    </x:row>
    <x:row r="17">
      <x:c r="A17" t="str">
        <x:v>US</x:v>
      </x:c>
      <x:c r="B17" t="str">
        <x:v>EWY</x:v>
      </x:c>
      <x:c r="C17" t="str">
        <x:v>iShares MSCI Korea</x:v>
      </x:c>
      <x:c r="D17" t="str">
        <x:v>No quarterly financial data / ETF or watch-only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2" hidden="0" customWidth="1"/>
    <x:col min="2" max="2" width="6.329999923706055" hidden="0" customWidth="1"/>
    <x:col min="3" max="3" width="17.780000686645508" hidden="0" customWidth="1"/>
    <x:col min="4" max="4" width="9" hidden="0" customWidth="1"/>
    <x:col min="5" max="5" width="17.329999923706055" hidden="0" customWidth="1"/>
    <x:col min="6" max="6" width="14.4399995803833" hidden="0" customWidth="1"/>
    <x:col min="7" max="7" width="24.440000534057617" hidden="0" customWidth="1"/>
    <x:col min="8" max="8" width="12.5600004196167" hidden="0" customWidth="1"/>
    <x:col min="9" max="9" width="19.219999313354492" hidden="0" customWidth="1"/>
    <x:col min="10" max="10" width="12.779999732971191" hidden="0" customWidth="1"/>
    <x:col min="11" max="11" width="12.329999923706055" hidden="0" customWidth="1"/>
    <x:col min="12" max="12" width="10.329999923706055" hidden="0" customWidth="1"/>
    <x:col min="13" max="13" width="11.220000267028809" hidden="0" customWidth="1"/>
    <x:col min="14" max="14" width="11.779999732971191" hidden="0" customWidth="1"/>
    <x:col min="15" max="15" width="12.5600004196167" hidden="0" customWidth="1"/>
    <x:col min="16" max="16" width="12.779999732971191" hidden="0" customWidth="1"/>
    <x:col min="17" max="17" width="10.5600004196167" hidden="0" customWidth="1"/>
    <x:col min="18" max="18" width="10.5600004196167" hidden="0" customWidth="1"/>
    <x:col min="19" max="19" width="11.670000076293945" hidden="0" customWidth="1"/>
    <x:col min="20" max="20" width="19.440000534057617" hidden="0" customWidth="1"/>
    <x:col min="21" max="21" width="24.440000534057617" hidden="0" customWidth="1"/>
    <x:col min="22" max="22" width="24.440000534057617" hidden="0" customWidth="1"/>
    <x:col min="23" max="23" width="24.440000534057617" hidden="0" customWidth="1"/>
    <x:col min="24" max="24" width="24.440000534057617" hidden="0" customWidth="1"/>
    <x:col min="25" max="25" width="24.440000534057617" hidden="0" customWidth="1"/>
    <x:col min="26" max="26" width="13" hidden="0" customWidth="1"/>
    <x:col min="27" max="27" width="11.779999732971191" hidden="0" customWidth="1"/>
    <x:col min="28" max="28" width="20.329999923706055" hidden="0" customWidth="1"/>
    <x:col min="29" max="29" width="9" hidden="0" customWidth="1"/>
    <x:col min="30" max="30" width="10.5600004196167" hidden="0" customWidth="1"/>
    <x:col min="31" max="31" width="16" hidden="0" customWidth="1"/>
    <x:col min="32" max="32" width="11.5600004196167" hidden="0" customWidth="1"/>
    <x:col min="33" max="33" width="11.109999656677246" hidden="0" customWidth="1"/>
    <x:col min="34" max="34" width="36.560001373291016" hidden="0" customWidth="1"/>
    <x:col min="35" max="35" width="33.33000183105469" hidden="0" customWidth="1"/>
    <x:col min="36" max="36" width="33.33000183105469" hidden="0" customWidth="1"/>
    <x:col min="37" max="37" width="33.33000183105469" hidden="0" customWidth="1"/>
    <x:col min="38" max="38" width="33.33000183105469" hidden="0" customWidth="1"/>
  </x:cols>
  <x:sheetData>
    <x:row r="1">
      <x:c r="A1" s="11" t="str">
        <x:v>Raw Factor Inputs / 每家公司原始因子数据</x:v>
      </x:c>
    </x:row>
    <x:row r="2">
      <x:c r="A2" s="16" t="str">
        <x:v>蓝色列是模型原始输入；部分列是从原始季度数据直接计算出的中间输入（如 Revenue YoY、Growth Momentum Raw、Durability Raw）。</x:v>
      </x:c>
    </x:row>
    <x:row r="4">
      <x:c r="A4" s="20" t="str">
        <x:v>Market</x:v>
      </x:c>
      <x:c r="B4" s="20" t="str">
        <x:v>Code</x:v>
      </x:c>
      <x:c r="C4" s="20" t="str">
        <x:v>Name</x:v>
      </x:c>
      <x:c r="D4" s="20" t="str">
        <x:v>Category</x:v>
      </x:c>
      <x:c r="E4" s="20" t="str">
        <x:v>Category Label</x:v>
      </x:c>
      <x:c r="F4" s="20" t="str">
        <x:v>Eligible For Model</x:v>
      </x:c>
      <x:c r="G4" s="20" t="str">
        <x:v>Exclusion Reason</x:v>
      </x:c>
      <x:c r="H4" s="20" t="str">
        <x:v>Strategic Score</x:v>
      </x:c>
      <x:c r="I4" s="20" t="str">
        <x:v>Market Cap (model unit)</x:v>
      </x:c>
      <x:c r="J4" s="20" t="str">
        <x:v>Avg Turnover %</x:v>
      </x:c>
      <x:c r="K4" s="20" t="str">
        <x:v>Turnover Score</x:v>
      </x:c>
      <x:c r="L4" s="20" t="str">
        <x:v>First Quarter</x:v>
      </x:c>
      <x:c r="M4" s="20" t="str">
        <x:v>First Revenue</x:v>
      </x:c>
      <x:c r="N4" s="20" t="str">
        <x:v>Latest Quarter</x:v>
      </x:c>
      <x:c r="O4" s="20" t="str">
        <x:v>Latest Revenue</x:v>
      </x:c>
      <x:c r="P4" s="20" t="str">
        <x:v>Revenue YoY %</x:v>
      </x:c>
      <x:c r="Q4" s="20" t="str">
        <x:v>Latest GM %</x:v>
      </x:c>
      <x:c r="R4" s="20" t="str">
        <x:v>Latest NM %</x:v>
      </x:c>
      <x:c r="S4" s="20" t="str">
        <x:v>NM Clipped %</x:v>
      </x:c>
      <x:c r="T4" s="20" t="str">
        <x:v>Growth Momentum Raw</x:v>
      </x:c>
      <x:c r="U4" s="20" t="str">
        <x:v>Growth Momentum Label</x:v>
      </x:c>
      <x:c r="V4" s="20" t="str">
        <x:v>Forecast Revenue</x:v>
      </x:c>
      <x:c r="W4" s="20" t="str">
        <x:v>Forecast Quarter</x:v>
      </x:c>
      <x:c r="X4" s="20" t="str">
        <x:v>Forecast Data Type</x:v>
      </x:c>
      <x:c r="Y4" s="20" t="str">
        <x:v>Forecast Source</x:v>
      </x:c>
      <x:c r="Z4" s="20" t="str">
        <x:v>Base Cycle Risk</x:v>
      </x:c>
      <x:c r="AA4" s="20" t="str">
        <x:v>Durability Raw</x:v>
      </x:c>
      <x:c r="AB4" s="20" t="str">
        <x:v>Operating Cash Flow ($B)</x:v>
      </x:c>
      <x:c r="AC4" s="20" t="str">
        <x:v>CapEx ($B)</x:v>
      </x:c>
      <x:c r="AD4" s="20" t="str">
        <x:v>CapEx / OCF</x:v>
      </x:c>
      <x:c r="AE4" s="20" t="str">
        <x:v>Free Cash Flow ($B)</x:v>
      </x:c>
      <x:c r="AF4" s="20" t="str">
        <x:v>FCF Margin %</x:v>
      </x:c>
      <x:c r="AG4" s="20" t="str">
        <x:v>Net Cash ($B)</x:v>
      </x:c>
      <x:c r="AH4" s="20" t="str">
        <x:v>Quality Source</x:v>
      </x:c>
      <x:c r="AI4" s="20" t="str">
        <x:v>Quality Source URL</x:v>
      </x:c>
      <x:c r="AJ4" s="20" t="str">
        <x:v>Latest Quarter Source URL</x:v>
      </x:c>
      <x:c r="AK4" s="20" t="str">
        <x:v>Latest Quarter Note</x:v>
      </x:c>
      <x:c r="AL4" s="20" t="str">
        <x:v>Intro</x:v>
      </x:c>
    </x:row>
    <x:row r="5">
      <x:c r="A5" s="22" t="str">
        <x:v>A-share</x:v>
      </x:c>
      <x:c r="B5" s="22" t="str">
        <x:v>300308</x:v>
      </x:c>
      <x:c r="C5" s="22" t="str">
        <x:v>中际旭创</x:v>
      </x:c>
      <x:c r="D5" s="22" t="str">
        <x:v>infra</x:v>
      </x:c>
      <x:c r="E5" s="22" t="str">
        <x:v>光模块</x:v>
      </x:c>
      <x:c r="F5" s="22" t="str">
        <x:v>Yes</x:v>
      </x:c>
      <x:c r="G5" s="22" t="str"/>
      <x:c r="H5" s="23" t="n">
        <x:v>7</x:v>
      </x:c>
      <x:c r="I5" s="23" t="n">
        <x:v>12000</x:v>
      </x:c>
      <x:c r="J5" s="23" t="n">
        <x:v>3</x:v>
      </x:c>
      <x:c r="K5" s="23" t="n">
        <x:v>-0.5108256237659907</x:v>
      </x:c>
      <x:c r="L5" s="23" t="str">
        <x:v>2025Q1</x:v>
      </x:c>
      <x:c r="M5" s="23" t="n">
        <x:v>66.74</x:v>
      </x:c>
      <x:c r="N5" s="23" t="str">
        <x:v>2026Q1</x:v>
      </x:c>
      <x:c r="O5" s="23" t="n">
        <x:v>195</x:v>
      </x:c>
      <x:c r="P5" s="23" t="n">
        <x:v>192.1786035361103</x:v>
      </x:c>
      <x:c r="Q5" s="23" t="n">
        <x:v>46.1</x:v>
      </x:c>
      <x:c r="R5" s="23" t="n">
        <x:v>32.4</x:v>
      </x:c>
      <x:c r="S5" s="23" t="n">
        <x:v>32.4</x:v>
      </x:c>
      <x:c r="T5" s="23" t="n">
        <x:v>14.65131636921695</x:v>
      </x:c>
      <x:c r="U5" s="23" t="str">
        <x:v>历史加速 14.7ppt / 无forecast不扣分</x:v>
      </x:c>
      <x:c r="V5" s="23"/>
      <x:c r="W5" s="23" t="str"/>
      <x:c r="X5" s="23" t="str"/>
      <x:c r="Y5" s="23" t="str"/>
      <x:c r="Z5" s="23" t="n">
        <x:v>0.4</x:v>
      </x:c>
      <x:c r="AA5" s="23" t="n">
        <x:v>9.392661928770137</x:v>
      </x:c>
      <x:c r="AB5" s="23"/>
      <x:c r="AC5" s="23"/>
      <x:c r="AD5" s="23"/>
      <x:c r="AE5" s="23"/>
      <x:c r="AF5" s="23"/>
      <x:c r="AG5" s="23"/>
      <x:c r="AH5" s="22" t="str"/>
      <x:c r="AI5" s="24" t="str"/>
      <x:c r="AJ5" s="24" t="str">
        <x:v>https://stock.stockstar.com/RB2026041800008790.shtml</x:v>
      </x:c>
      <x:c r="AK5" s="24" t="str"/>
      <x:c r="AL5" s="24" t="str">
        <x:v>全球光模块龙头，800G/1.6T 高端光模块主供英伟达/谷歌/亚马逊。全球 AI 数据中心建设的核心受益者。</x:v>
      </x:c>
    </x:row>
    <x:row r="6">
      <x:c r="A6" s="22" t="str">
        <x:v>A-share</x:v>
      </x:c>
      <x:c r="B6" s="22" t="str">
        <x:v>300475</x:v>
      </x:c>
      <x:c r="C6" s="22" t="str">
        <x:v>香农芯创</x:v>
      </x:c>
      <x:c r="D6" s="22" t="str">
        <x:v>base</x:v>
      </x:c>
      <x:c r="E6" s="22" t="str">
        <x:v>HBM 配套</x:v>
      </x:c>
      <x:c r="F6" s="22" t="str">
        <x:v>No</x:v>
      </x:c>
      <x:c r="G6" s="22" t="str">
        <x:v>Quarter has null rev/gm/nm</x:v>
      </x:c>
      <x:c r="H6" s="23" t="n">
        <x:v>5</x:v>
      </x:c>
      <x:c r="I6" s="23" t="n">
        <x:v>1120</x:v>
      </x:c>
      <x:c r="J6" s="23" t="n">
        <x:v>9.5</x:v>
      </x:c>
      <x:c r="K6" s="23" t="n">
        <x:v>-0.6418538861723947</x:v>
      </x:c>
      <x:c r="L6" s="23" t="str">
        <x:v>2025Q1</x:v>
      </x:c>
      <x:c r="M6" s="23"/>
      <x:c r="N6" s="23" t="str">
        <x:v>2026Q1</x:v>
      </x:c>
      <x:c r="O6" s="23" t="n">
        <x:v>237.6</x:v>
      </x:c>
      <x:c r="P6" s="23"/>
      <x:c r="Q6" s="23" t="n">
        <x:v>9.1</x:v>
      </x:c>
      <x:c r="R6" s="23" t="n">
        <x:v>5.6</x:v>
      </x:c>
      <x:c r="S6" s="23" t="n">
        <x:v>5.6</x:v>
      </x:c>
      <x:c r="T6" s="23"/>
      <x:c r="U6" s="23" t="str">
        <x:v>历史不足</x:v>
      </x:c>
      <x:c r="V6" s="23"/>
      <x:c r="W6" s="23" t="str"/>
      <x:c r="X6" s="23" t="str"/>
      <x:c r="Y6" s="23" t="str"/>
      <x:c r="Z6" s="23" t="n">
        <x:v>0.45</x:v>
      </x:c>
      <x:c r="AA6" s="23" t="n">
        <x:v>7.02108396428914</x:v>
      </x:c>
      <x:c r="AB6" s="23"/>
      <x:c r="AC6" s="23"/>
      <x:c r="AD6" s="23"/>
      <x:c r="AE6" s="23"/>
      <x:c r="AF6" s="23"/>
      <x:c r="AG6" s="23"/>
      <x:c r="AH6" s="22" t="str"/>
      <x:c r="AI6" s="24" t="str"/>
      <x:c r="AJ6" s="24" t="str">
        <x:v>http://static.cninfo.com.cn/finalpage/2026-04-24/1225166780.PDF</x:v>
      </x:c>
      <x:c r="AK6" s="24" t="str"/>
      <x:c r="AL6" s="24" t="str">
        <x:v>存储分销 + HBM 配套，三星/海力士授权代理。HBM3/3E 渗透国内 AI 芯片厂商核心受益。</x:v>
      </x:c>
    </x:row>
    <x:row r="7">
      <x:c r="A7" s="22" t="str">
        <x:v>A-share</x:v>
      </x:c>
      <x:c r="B7" s="22" t="str">
        <x:v>300476</x:v>
      </x:c>
      <x:c r="C7" s="22" t="str">
        <x:v>胜宏科技</x:v>
      </x:c>
      <x:c r="D7" s="22" t="str">
        <x:v>infra</x:v>
      </x:c>
      <x:c r="E7" s="22" t="str">
        <x:v>AI PCB</x:v>
      </x:c>
      <x:c r="F7" s="22" t="str">
        <x:v>No</x:v>
      </x:c>
      <x:c r="G7" s="22" t="str">
        <x:v>Quarter has null rev/gm/nm</x:v>
      </x:c>
      <x:c r="H7" s="23" t="n">
        <x:v>7</x:v>
      </x:c>
      <x:c r="I7" s="23" t="n">
        <x:v>3300</x:v>
      </x:c>
      <x:c r="J7" s="23" t="n">
        <x:v>6</x:v>
      </x:c>
      <x:c r="K7" s="23" t="n">
        <x:v>-0.1823215567939546</x:v>
      </x:c>
      <x:c r="L7" s="23" t="str">
        <x:v>2025Q1</x:v>
      </x:c>
      <x:c r="M7" s="23"/>
      <x:c r="N7" s="23" t="str">
        <x:v>2026Q1</x:v>
      </x:c>
      <x:c r="O7" s="23" t="n">
        <x:v>55.19</x:v>
      </x:c>
      <x:c r="P7" s="23"/>
      <x:c r="Q7" s="23" t="n">
        <x:v>34.5</x:v>
      </x:c>
      <x:c r="R7" s="23" t="n">
        <x:v>23.34</x:v>
      </x:c>
      <x:c r="S7" s="23" t="n">
        <x:v>23.34</x:v>
      </x:c>
      <x:c r="T7" s="23"/>
      <x:c r="U7" s="23" t="str">
        <x:v>历史不足</x:v>
      </x:c>
      <x:c r="V7" s="23"/>
      <x:c r="W7" s="23" t="str"/>
      <x:c r="X7" s="23" t="str"/>
      <x:c r="Y7" s="23" t="str"/>
      <x:c r="Z7" s="23" t="n">
        <x:v>0.4</x:v>
      </x:c>
      <x:c r="AA7" s="23" t="n">
        <x:v>8.101677747454572</x:v>
      </x:c>
      <x:c r="AB7" s="23"/>
      <x:c r="AC7" s="23"/>
      <x:c r="AD7" s="23"/>
      <x:c r="AE7" s="23"/>
      <x:c r="AF7" s="23"/>
      <x:c r="AG7" s="23"/>
      <x:c r="AH7" s="22" t="str"/>
      <x:c r="AI7" s="24" t="str"/>
      <x:c r="AJ7" s="24" t="str">
        <x:v>https://cj.sina.com.cn/articles/view/7935425109/1d8fcfa5502001f7mw</x:v>
      </x:c>
      <x:c r="AK7" s="24" t="str">
        <x:v>营收 55.19亿/归母 12.88亿/扣非 12.57亿 (差 2.4% 主营驱动); NM=23.34% 与 FY 2025 NM 22.4% 一致, 非一次性</x:v>
      </x:c>
      <x:c r="AL7" s="24" t="str">
        <x:v>AI高端HDI/PCB领军，英伟达GB200/GB300服务器PCB全球份额超50%，2026年4月港股上市市值破3000亿港元。泰国二期产能放量，叠加谷歌TPU V7P订单贡献，2025年净利润同比+273.5%。</x:v>
      </x:c>
    </x:row>
    <x:row r="8">
      <x:c r="A8" s="22" t="str">
        <x:v>A-share</x:v>
      </x:c>
      <x:c r="B8" s="22" t="str">
        <x:v>300604</x:v>
      </x:c>
      <x:c r="C8" s="22" t="str">
        <x:v>长川科技</x:v>
      </x:c>
      <x:c r="D8" s="22" t="str">
        <x:v>base</x:v>
      </x:c>
      <x:c r="E8" s="22" t="str">
        <x:v>测试设备</x:v>
      </x:c>
      <x:c r="F8" s="22" t="str">
        <x:v>Yes</x:v>
      </x:c>
      <x:c r="G8" s="22" t="str"/>
      <x:c r="H8" s="23" t="n">
        <x:v>7</x:v>
      </x:c>
      <x:c r="I8" s="23" t="n">
        <x:v>380</x:v>
      </x:c>
      <x:c r="J8" s="23" t="n">
        <x:v>5</x:v>
      </x:c>
      <x:c r="K8" s="23" t="n">
        <x:v>0</x:v>
      </x:c>
      <x:c r="L8" s="23" t="str">
        <x:v>2025Q1</x:v>
      </x:c>
      <x:c r="M8" s="23" t="n">
        <x:v>8.15</x:v>
      </x:c>
      <x:c r="N8" s="23" t="str">
        <x:v>2026Q1</x:v>
      </x:c>
      <x:c r="O8" s="23" t="n">
        <x:v>13.78</x:v>
      </x:c>
      <x:c r="P8" s="23" t="n">
        <x:v>69.07975460122697</x:v>
      </x:c>
      <x:c r="Q8" s="23" t="n">
        <x:v>56.81</x:v>
      </x:c>
      <x:c r="R8" s="23" t="n">
        <x:v>26.05</x:v>
      </x:c>
      <x:c r="S8" s="23" t="n">
        <x:v>26.05</x:v>
      </x:c>
      <x:c r="T8" s="23" t="n">
        <x:v>-37.07174520677615</x:v>
      </x:c>
      <x:c r="U8" s="23" t="str">
        <x:v>历史加速 -37.1ppt / 无forecast不扣分</x:v>
      </x:c>
      <x:c r="V8" s="23"/>
      <x:c r="W8" s="23" t="str"/>
      <x:c r="X8" s="23" t="str"/>
      <x:c r="Y8" s="23" t="str"/>
      <x:c r="Z8" s="23" t="n">
        <x:v>0.45</x:v>
      </x:c>
      <x:c r="AA8" s="23" t="n">
        <x:v>5.940171252720432</x:v>
      </x:c>
      <x:c r="AB8" s="23"/>
      <x:c r="AC8" s="23"/>
      <x:c r="AD8" s="23"/>
      <x:c r="AE8" s="23"/>
      <x:c r="AF8" s="23"/>
      <x:c r="AG8" s="23"/>
      <x:c r="AH8" s="22" t="str"/>
      <x:c r="AI8" s="24" t="str"/>
      <x:c r="AJ8" s="24" t="str">
        <x:v>https://stock.stockstar.com/RB2026042600003756.shtml</x:v>
      </x:c>
      <x:c r="AK8" s="24" t="str"/>
      <x:c r="AL8" s="24" t="str">
        <x:v>国内测试设备No.1，覆盖SoC/逻辑/混合信号/RF芯片测试机+分选机+AOI。D9000数字测试机性能逼近国际先进水平，深度受益AI芯片+存储测试需求+封测厂扩产，在手订单覆盖2026全年1.6倍。</x:v>
      </x:c>
    </x:row>
    <x:row r="9">
      <x:c r="A9" s="22" t="str">
        <x:v>A-share</x:v>
      </x:c>
      <x:c r="B9" s="22" t="str">
        <x:v>600584</x:v>
      </x:c>
      <x:c r="C9" s="22" t="str">
        <x:v>长电科技</x:v>
      </x:c>
      <x:c r="D9" s="22" t="str">
        <x:v>base</x:v>
      </x:c>
      <x:c r="E9" s="22" t="str">
        <x:v>先进封装</x:v>
      </x:c>
      <x:c r="F9" s="22" t="str">
        <x:v>Yes</x:v>
      </x:c>
      <x:c r="G9" s="22" t="str"/>
      <x:c r="H9" s="23" t="n">
        <x:v>8</x:v>
      </x:c>
      <x:c r="I9" s="23" t="n">
        <x:v>1000</x:v>
      </x:c>
      <x:c r="J9" s="23" t="n">
        <x:v>7.5</x:v>
      </x:c>
      <x:c r="K9" s="23" t="n">
        <x:v>-0.4054651081081644</x:v>
      </x:c>
      <x:c r="L9" s="23" t="str">
        <x:v>2025Q1</x:v>
      </x:c>
      <x:c r="M9" s="23" t="n">
        <x:v>91.71</x:v>
      </x:c>
      <x:c r="N9" s="23" t="str">
        <x:v>2026Q1</x:v>
      </x:c>
      <x:c r="O9" s="23" t="n">
        <x:v>91.7</x:v>
      </x:c>
      <x:c r="P9" s="23" t="n">
        <x:v>-0.010903936321005059</x:v>
      </x:c>
      <x:c r="Q9" s="23" t="n">
        <x:v>14.55</x:v>
      </x:c>
      <x:c r="R9" s="23" t="n">
        <x:v>3.16</x:v>
      </x:c>
      <x:c r="S9" s="23" t="n">
        <x:v>3.16</x:v>
      </x:c>
      <x:c r="T9" s="23" t="n">
        <x:v>-9.153996579709961</x:v>
      </x:c>
      <x:c r="U9" s="23" t="str">
        <x:v>历史加速 -9.2ppt / 无forecast不扣分</x:v>
      </x:c>
      <x:c r="V9" s="23"/>
      <x:c r="W9" s="23" t="str"/>
      <x:c r="X9" s="23" t="str"/>
      <x:c r="Y9" s="23" t="str"/>
      <x:c r="Z9" s="23" t="n">
        <x:v>0.45</x:v>
      </x:c>
      <x:c r="AA9" s="23" t="n">
        <x:v>6.907755278982137</x:v>
      </x:c>
      <x:c r="AB9" s="23"/>
      <x:c r="AC9" s="23"/>
      <x:c r="AD9" s="23"/>
      <x:c r="AE9" s="23"/>
      <x:c r="AF9" s="23"/>
      <x:c r="AG9" s="23"/>
      <x:c r="AH9" s="22" t="str"/>
      <x:c r="AI9" s="24" t="str"/>
      <x:c r="AJ9" s="24" t="str">
        <x:v>https://finance.sina.com.cn/jjxw/2026-04-29/doc-inhwckrq6871876.shtml</x:v>
      </x:c>
      <x:c r="AK9" s="24" t="str"/>
      <x:c r="AL9" s="24" t="str">
        <x:v>国内封测龙头，全球Top3 OSAT。XDFOI芯粒高密度多维异构集成系列工艺量产，AI先进封装业务占比超42%，2025年先进封装收入达270亿元创新高，CPO实现样品出货，深度受益AI算力封装需求。</x:v>
      </x:c>
    </x:row>
    <x:row r="10">
      <x:c r="A10" s="22" t="str">
        <x:v>A-share</x:v>
      </x:c>
      <x:c r="B10" s="22" t="str">
        <x:v>601138</x:v>
      </x:c>
      <x:c r="C10" s="22" t="str">
        <x:v>工业富联</x:v>
      </x:c>
      <x:c r="D10" s="22" t="str">
        <x:v>infra</x:v>
      </x:c>
      <x:c r="E10" s="22" t="str">
        <x:v>服务器代工</x:v>
      </x:c>
      <x:c r="F10" s="22" t="str">
        <x:v>Yes</x:v>
      </x:c>
      <x:c r="G10" s="22" t="str"/>
      <x:c r="H10" s="23" t="n">
        <x:v>4</x:v>
      </x:c>
      <x:c r="I10" s="23" t="n">
        <x:v>12480</x:v>
      </x:c>
      <x:c r="J10" s="23" t="n">
        <x:v>1.5</x:v>
      </x:c>
      <x:c r="K10" s="23" t="n">
        <x:v>-1.2039728043259361</x:v>
      </x:c>
      <x:c r="L10" s="23" t="str">
        <x:v>2025Q1</x:v>
      </x:c>
      <x:c r="M10" s="23" t="n">
        <x:v>1604.15</x:v>
      </x:c>
      <x:c r="N10" s="23" t="str">
        <x:v>2026Q1</x:v>
      </x:c>
      <x:c r="O10" s="23" t="n">
        <x:v>2510.8</x:v>
      </x:c>
      <x:c r="P10" s="23" t="n">
        <x:v>56.51902876913007</x:v>
      </x:c>
      <x:c r="Q10" s="23" t="n">
        <x:v>7.4</x:v>
      </x:c>
      <x:c r="R10" s="23" t="n">
        <x:v>4.2</x:v>
      </x:c>
      <x:c r="S10" s="23" t="n">
        <x:v>4.2</x:v>
      </x:c>
      <x:c r="T10" s="23" t="n">
        <x:v>-19.6699749030454</x:v>
      </x:c>
      <x:c r="U10" s="23" t="str">
        <x:v>历史加速 -19.7ppt / 无forecast不扣分</x:v>
      </x:c>
      <x:c r="V10" s="23"/>
      <x:c r="W10" s="23" t="str"/>
      <x:c r="X10" s="23" t="str"/>
      <x:c r="Y10" s="23" t="str"/>
      <x:c r="Z10" s="23" t="n">
        <x:v>0.4</x:v>
      </x:c>
      <x:c r="AA10" s="23" t="n">
        <x:v>9.43188264192342</x:v>
      </x:c>
      <x:c r="AB10" s="23"/>
      <x:c r="AC10" s="23"/>
      <x:c r="AD10" s="23"/>
      <x:c r="AE10" s="23"/>
      <x:c r="AF10" s="23"/>
      <x:c r="AG10" s="23"/>
      <x:c r="AH10" s="22" t="str"/>
      <x:c r="AI10" s="24" t="str"/>
      <x:c r="AJ10" s="24" t="str">
        <x:v>https://stock.stockstar.com/RB2026043000019123.shtml</x:v>
      </x:c>
      <x:c r="AK10" s="24" t="str"/>
      <x:c r="AL10" s="24" t="str">
        <x:v>全球最大服务器 ODM/代工厂（富士康旗下），英伟达 GB200 主力供应商。AI 服务器代工绝对龙头但毛利率薄。</x:v>
      </x:c>
    </x:row>
    <x:row r="11">
      <x:c r="A11" s="22" t="str">
        <x:v>A-share</x:v>
      </x:c>
      <x:c r="B11" s="22" t="str">
        <x:v>603019</x:v>
      </x:c>
      <x:c r="C11" s="22" t="str">
        <x:v>中科曙光</x:v>
      </x:c>
      <x:c r="D11" s="22" t="str">
        <x:v>hw</x:v>
      </x:c>
      <x:c r="E11" s="22" t="str">
        <x:v>整机集成</x:v>
      </x:c>
      <x:c r="F11" s="22" t="str">
        <x:v>No</x:v>
      </x:c>
      <x:c r="G11" s="22" t="str">
        <x:v>Quarter has null rev/gm/nm</x:v>
      </x:c>
      <x:c r="H11" s="23" t="n">
        <x:v>8</x:v>
      </x:c>
      <x:c r="I11" s="23" t="n">
        <x:v>2400</x:v>
      </x:c>
      <x:c r="J11" s="23" t="n">
        <x:v>3.8</x:v>
      </x:c>
      <x:c r="K11" s="23" t="n">
        <x:v>-0.2744368457017603</x:v>
      </x:c>
      <x:c r="L11" s="23" t="str">
        <x:v>2025Q1</x:v>
      </x:c>
      <x:c r="M11" s="23" t="n">
        <x:v>25.86</x:v>
      </x:c>
      <x:c r="N11" s="23" t="str">
        <x:v>2026Q1</x:v>
      </x:c>
      <x:c r="O11" s="23" t="n">
        <x:v>32</x:v>
      </x:c>
      <x:c r="P11" s="23" t="n">
        <x:v>23.743232791956693</x:v>
      </x:c>
      <x:c r="Q11" s="23" t="n">
        <x:v>26.6</x:v>
      </x:c>
      <x:c r="R11" s="23" t="n">
        <x:v>7.1</x:v>
      </x:c>
      <x:c r="S11" s="23" t="n">
        <x:v>7.1</x:v>
      </x:c>
      <x:c r="T11" s="23"/>
      <x:c r="U11" s="23" t="str">
        <x:v>历史不足</x:v>
      </x:c>
      <x:c r="V11" s="23"/>
      <x:c r="W11" s="23" t="str"/>
      <x:c r="X11" s="23" t="str"/>
      <x:c r="Y11" s="23" t="str"/>
      <x:c r="Z11" s="23" t="n">
        <x:v>0.35</x:v>
      </x:c>
      <x:c r="AA11" s="23" t="n">
        <x:v>7.783224016336037</x:v>
      </x:c>
      <x:c r="AB11" s="23"/>
      <x:c r="AC11" s="23"/>
      <x:c r="AD11" s="23"/>
      <x:c r="AE11" s="23"/>
      <x:c r="AF11" s="23"/>
      <x:c r="AG11" s="23"/>
      <x:c r="AH11" s="22" t="str"/>
      <x:c r="AI11" s="24" t="str"/>
      <x:c r="AJ11" s="24" t="str">
        <x:v>https://stock.stockstar.com/RB2026042600002959.shtml</x:v>
      </x:c>
      <x:c r="AK11" s="24" t="str"/>
      <x:c r="AL11" s="24" t="str">
        <x:v>国家队服务器整机+海光大股东。高端通用算力+智能算力双布局，政企/超算订单稳定。</x:v>
      </x:c>
    </x:row>
    <x:row r="12">
      <x:c r="A12" s="22" t="str">
        <x:v>A-share</x:v>
      </x:c>
      <x:c r="B12" s="22" t="str">
        <x:v>688008</x:v>
      </x:c>
      <x:c r="C12" s="22" t="str">
        <x:v>澜起科技</x:v>
      </x:c>
      <x:c r="D12" s="22" t="str">
        <x:v>base</x:v>
      </x:c>
      <x:c r="E12" s="22" t="str">
        <x:v>存储接口</x:v>
      </x:c>
      <x:c r="F12" s="22" t="str">
        <x:v>Yes</x:v>
      </x:c>
      <x:c r="G12" s="22" t="str"/>
      <x:c r="H12" s="23" t="n">
        <x:v>8</x:v>
      </x:c>
      <x:c r="I12" s="23" t="n">
        <x:v>1972</x:v>
      </x:c>
      <x:c r="J12" s="23" t="n">
        <x:v>5.5</x:v>
      </x:c>
      <x:c r="K12" s="23" t="n">
        <x:v>-0.09531017980432493</x:v>
      </x:c>
      <x:c r="L12" s="23" t="str">
        <x:v>2025Q1</x:v>
      </x:c>
      <x:c r="M12" s="23" t="n">
        <x:v>12.22</x:v>
      </x:c>
      <x:c r="N12" s="23" t="str">
        <x:v>2026Q1</x:v>
      </x:c>
      <x:c r="O12" s="23" t="n">
        <x:v>14.6</x:v>
      </x:c>
      <x:c r="P12" s="23" t="n">
        <x:v>19.476268412438614</x:v>
      </x:c>
      <x:c r="Q12" s="23" t="n">
        <x:v>69.8</x:v>
      </x:c>
      <x:c r="R12" s="23" t="n">
        <x:v>56.8</x:v>
      </x:c>
      <x:c r="S12" s="23" t="n">
        <x:v>56.8</x:v>
      </x:c>
      <x:c r="T12" s="23" t="n">
        <x:v>-6.608285830641224</x:v>
      </x:c>
      <x:c r="U12" s="23" t="str">
        <x:v>历史加速 -6.6ppt / 无forecast不扣分</x:v>
      </x:c>
      <x:c r="V12" s="23"/>
      <x:c r="W12" s="23" t="str"/>
      <x:c r="X12" s="23" t="str"/>
      <x:c r="Y12" s="23" t="str"/>
      <x:c r="Z12" s="23" t="n">
        <x:v>0.45</x:v>
      </x:c>
      <x:c r="AA12" s="23" t="n">
        <x:v>7.586803535162581</x:v>
      </x:c>
      <x:c r="AB12" s="23"/>
      <x:c r="AC12" s="23"/>
      <x:c r="AD12" s="23"/>
      <x:c r="AE12" s="23"/>
      <x:c r="AF12" s="23"/>
      <x:c r="AG12" s="23"/>
      <x:c r="AH12" s="22" t="str"/>
      <x:c r="AI12" s="24" t="str"/>
      <x:c r="AJ12" s="24" t="str">
        <x:v>https://stock.stockstar.com/RB2026042900024218.shtml</x:v>
      </x:c>
      <x:c r="AK12" s="24" t="str"/>
      <x:c r="AL12" s="24" t="str">
        <x:v>全球内存接口芯片三巨头之一，DDR5 RCD/DB/MRCD 等高速产品市占率领先。AI 服务器 HBM/DDR5 渗透核心受益。</x:v>
      </x:c>
    </x:row>
    <x:row r="13">
      <x:c r="A13" s="22" t="str">
        <x:v>A-share</x:v>
      </x:c>
      <x:c r="B13" s="22" t="str">
        <x:v>688012</x:v>
      </x:c>
      <x:c r="C13" s="22" t="str">
        <x:v>中微公司</x:v>
      </x:c>
      <x:c r="D13" s="22" t="str">
        <x:v>base</x:v>
      </x:c>
      <x:c r="E13" s="22" t="str">
        <x:v>刻蚀设备</x:v>
      </x:c>
      <x:c r="F13" s="22" t="str">
        <x:v>Yes</x:v>
      </x:c>
      <x:c r="G13" s="22" t="str"/>
      <x:c r="H13" s="23" t="n">
        <x:v>9</x:v>
      </x:c>
      <x:c r="I13" s="23" t="n">
        <x:v>2080</x:v>
      </x:c>
      <x:c r="J13" s="23" t="n">
        <x:v>2.5</x:v>
      </x:c>
      <x:c r="K13" s="23" t="n">
        <x:v>-0.6931471805599453</x:v>
      </x:c>
      <x:c r="L13" s="23" t="str">
        <x:v>2025Q1</x:v>
      </x:c>
      <x:c r="M13" s="23" t="n">
        <x:v>21.01</x:v>
      </x:c>
      <x:c r="N13" s="23" t="str">
        <x:v>2026Q1</x:v>
      </x:c>
      <x:c r="O13" s="23" t="n">
        <x:v>29.15</x:v>
      </x:c>
      <x:c r="P13" s="23" t="n">
        <x:v>38.743455497382186</x:v>
      </x:c>
      <x:c r="Q13" s="23" t="n">
        <x:v>40.5</x:v>
      </x:c>
      <x:c r="R13" s="23" t="n">
        <x:v>31.9</x:v>
      </x:c>
      <x:c r="S13" s="23" t="n">
        <x:v>31.9</x:v>
      </x:c>
      <x:c r="T13" s="23" t="n">
        <x:v>-18.888238621801076</x:v>
      </x:c>
      <x:c r="U13" s="23" t="str">
        <x:v>历史加速 -18.9ppt / 无forecast不扣分</x:v>
      </x:c>
      <x:c r="V13" s="23"/>
      <x:c r="W13" s="23" t="str"/>
      <x:c r="X13" s="23" t="str"/>
      <x:c r="Y13" s="23" t="str"/>
      <x:c r="Z13" s="23" t="n">
        <x:v>0.45</x:v>
      </x:c>
      <x:c r="AA13" s="23" t="n">
        <x:v>7.640123172695364</x:v>
      </x:c>
      <x:c r="AB13" s="23"/>
      <x:c r="AC13" s="23"/>
      <x:c r="AD13" s="23"/>
      <x:c r="AE13" s="23"/>
      <x:c r="AF13" s="23"/>
      <x:c r="AG13" s="23"/>
      <x:c r="AH13" s="22" t="str"/>
      <x:c r="AI13" s="24" t="str"/>
      <x:c r="AJ13" s="24" t="str">
        <x:v>https://finance.sina.com.cn/jjxw/2026-04-28/doc-inhvzfsh8542848.shtml</x:v>
      </x:c>
      <x:c r="AK13" s="24" t="str"/>
      <x:c r="AL13" s="24" t="str">
        <x:v>国产刻蚀设备龙头，CCP/ICP全覆盖，台积电/中芯/长江存储核心供应商，刻蚀反应台全球累计出货超6800台。新一代低温刻蚀设备已交付验证，薄膜LPCVD设备2025年收入同比+224%，5nm及以下产线批量应用。</x:v>
      </x:c>
    </x:row>
    <x:row r="14">
      <x:c r="A14" s="22" t="str">
        <x:v>A-share</x:v>
      </x:c>
      <x:c r="B14" s="22" t="str">
        <x:v>688041</x:v>
      </x:c>
      <x:c r="C14" s="22" t="str">
        <x:v>海光信息</x:v>
      </x:c>
      <x:c r="D14" s="22" t="str">
        <x:v>core</x:v>
      </x:c>
      <x:c r="E14" s="22" t="str">
        <x:v>核心芯片</x:v>
      </x:c>
      <x:c r="F14" s="22" t="str">
        <x:v>No</x:v>
      </x:c>
      <x:c r="G14" s="22" t="str">
        <x:v>Quarter has null rev/gm/nm</x:v>
      </x:c>
      <x:c r="H14" s="23" t="n">
        <x:v>10</x:v>
      </x:c>
      <x:c r="I14" s="23" t="n">
        <x:v>7500</x:v>
      </x:c>
      <x:c r="J14" s="23" t="n">
        <x:v>5.2</x:v>
      </x:c>
      <x:c r="K14" s="23" t="n">
        <x:v>-0.03922071315328133</x:v>
      </x:c>
      <x:c r="L14" s="23" t="str">
        <x:v>2025Q1</x:v>
      </x:c>
      <x:c r="M14" s="23" t="n">
        <x:v>24</x:v>
      </x:c>
      <x:c r="N14" s="23" t="str">
        <x:v>2026Q1</x:v>
      </x:c>
      <x:c r="O14" s="23" t="n">
        <x:v>40.3</x:v>
      </x:c>
      <x:c r="P14" s="23" t="n">
        <x:v>67.91666666666664</x:v>
      </x:c>
      <x:c r="Q14" s="23" t="n">
        <x:v>55.6</x:v>
      </x:c>
      <x:c r="R14" s="23" t="n">
        <x:v>17</x:v>
      </x:c>
      <x:c r="S14" s="23" t="n">
        <x:v>17</x:v>
      </x:c>
      <x:c r="T14" s="23"/>
      <x:c r="U14" s="23" t="str">
        <x:v>历史不足</x:v>
      </x:c>
      <x:c r="V14" s="23"/>
      <x:c r="W14" s="23" t="str"/>
      <x:c r="X14" s="23" t="str"/>
      <x:c r="Y14" s="23" t="str"/>
      <x:c r="Z14" s="23" t="n">
        <x:v>0.25</x:v>
      </x:c>
      <x:c r="AA14" s="23" t="n">
        <x:v>8.922658299524402</x:v>
      </x:c>
      <x:c r="AB14" s="23"/>
      <x:c r="AC14" s="23"/>
      <x:c r="AD14" s="23"/>
      <x:c r="AE14" s="23"/>
      <x:c r="AF14" s="23"/>
      <x:c r="AG14" s="23"/>
      <x:c r="AH14" s="22" t="str"/>
      <x:c r="AI14" s="24" t="str"/>
      <x:c r="AJ14" s="24" t="str">
        <x:v>https://finance.sina.com.cn/jjxw/2026-04-07/doc-inhtsrra2187898.shtml</x:v>
      </x:c>
      <x:c r="AK14" s="24" t="str"/>
      <x:c r="AL14" s="24" t="str">
        <x:v>国产服务器 CPU/DCU 双线龙头，海光 7 号 CPU + DCU 深算系列已量产。政企+互联网双驱动，营收增速最快的国产芯片之一。</x:v>
      </x:c>
    </x:row>
    <x:row r="15">
      <x:c r="A15" s="22" t="str">
        <x:v>A-share</x:v>
      </x:c>
      <x:c r="B15" s="22" t="str">
        <x:v>688047</x:v>
      </x:c>
      <x:c r="C15" s="22" t="str">
        <x:v>龙芯中科</x:v>
      </x:c>
      <x:c r="D15" s="22" t="str">
        <x:v>core</x:v>
      </x:c>
      <x:c r="E15" s="22" t="str">
        <x:v>自主指令集</x:v>
      </x:c>
      <x:c r="F15" s="22" t="str">
        <x:v>No</x:v>
      </x:c>
      <x:c r="G15" s="22" t="str">
        <x:v>Quarter has null rev/gm/nm</x:v>
      </x:c>
      <x:c r="H15" s="23" t="n">
        <x:v>7</x:v>
      </x:c>
      <x:c r="I15" s="23" t="n">
        <x:v>664</x:v>
      </x:c>
      <x:c r="J15" s="23" t="n">
        <x:v>6.5</x:v>
      </x:c>
      <x:c r="K15" s="23" t="n">
        <x:v>-0.26236426446749106</x:v>
      </x:c>
      <x:c r="L15" s="23" t="str">
        <x:v>2025Q1</x:v>
      </x:c>
      <x:c r="M15" s="23"/>
      <x:c r="N15" s="23" t="str">
        <x:v>2026Q1</x:v>
      </x:c>
      <x:c r="O15" s="23" t="n">
        <x:v>1.4</x:v>
      </x:c>
      <x:c r="P15" s="23"/>
      <x:c r="Q15" s="23" t="n">
        <x:v>34.9</x:v>
      </x:c>
      <x:c r="R15" s="23" t="n">
        <x:v>-84.4</x:v>
      </x:c>
      <x:c r="S15" s="23" t="n">
        <x:v>-30</x:v>
      </x:c>
      <x:c r="T15" s="23"/>
      <x:c r="U15" s="23" t="str">
        <x:v>历史不足</x:v>
      </x:c>
      <x:c r="V15" s="23"/>
      <x:c r="W15" s="23" t="str"/>
      <x:c r="X15" s="23" t="str"/>
      <x:c r="Y15" s="23" t="str"/>
      <x:c r="Z15" s="23" t="n">
        <x:v>0.25</x:v>
      </x:c>
      <x:c r="AA15" s="23" t="n">
        <x:v>6.498282149476434</x:v>
      </x:c>
      <x:c r="AB15" s="23"/>
      <x:c r="AC15" s="23"/>
      <x:c r="AD15" s="23"/>
      <x:c r="AE15" s="23"/>
      <x:c r="AF15" s="23"/>
      <x:c r="AG15" s="23"/>
      <x:c r="AH15" s="22" t="str"/>
      <x:c r="AI15" s="24" t="str"/>
      <x:c r="AJ15" s="24" t="str">
        <x:v>http://dataclouds.cninfo.com.cn/shgonggao/hsomarket/2026/20260428/8d881f598b6d4aff9924b01a3ba04654.PDF</x:v>
      </x:c>
      <x:c r="AK15" s="24" t="str"/>
      <x:c r="AL15" s="24" t="str">
        <x:v>国产自主指令集 LoongArch CPU 唯一供应商，工控+政务+教育多场景。亏损中但战略价值显著。</x:v>
      </x:c>
    </x:row>
    <x:row r="16">
      <x:c r="A16" s="22" t="str">
        <x:v>A-share</x:v>
      </x:c>
      <x:c r="B16" s="22" t="str">
        <x:v>688120</x:v>
      </x:c>
      <x:c r="C16" s="22" t="str">
        <x:v>华海清科</x:v>
      </x:c>
      <x:c r="D16" s="22" t="str">
        <x:v>base</x:v>
      </x:c>
      <x:c r="E16" s="22" t="str">
        <x:v>CMP 设备</x:v>
      </x:c>
      <x:c r="F16" s="22" t="str">
        <x:v>Yes</x:v>
      </x:c>
      <x:c r="G16" s="22" t="str"/>
      <x:c r="H16" s="23" t="n">
        <x:v>7</x:v>
      </x:c>
      <x:c r="I16" s="23" t="n">
        <x:v>580</x:v>
      </x:c>
      <x:c r="J16" s="23" t="n">
        <x:v>3</x:v>
      </x:c>
      <x:c r="K16" s="23" t="n">
        <x:v>-0.5108256237659907</x:v>
      </x:c>
      <x:c r="L16" s="23" t="str">
        <x:v>2025Q1</x:v>
      </x:c>
      <x:c r="M16" s="23" t="n">
        <x:v>9.12</x:v>
      </x:c>
      <x:c r="N16" s="23" t="str">
        <x:v>2026Q1</x:v>
      </x:c>
      <x:c r="O16" s="23" t="n">
        <x:v>12.01</x:v>
      </x:c>
      <x:c r="P16" s="23" t="n">
        <x:v>31.688596491228083</x:v>
      </x:c>
      <x:c r="Q16" s="23" t="n">
        <x:v>42.31</x:v>
      </x:c>
      <x:c r="R16" s="23" t="n">
        <x:v>20.57</x:v>
      </x:c>
      <x:c r="S16" s="23" t="n">
        <x:v>20.57</x:v>
      </x:c>
      <x:c r="T16" s="23" t="n">
        <x:v>3.2339229098600857</x:v>
      </x:c>
      <x:c r="U16" s="23" t="str">
        <x:v>历史加速 3.2ppt / 无forecast不扣分</x:v>
      </x:c>
      <x:c r="V16" s="23"/>
      <x:c r="W16" s="23" t="str"/>
      <x:c r="X16" s="23" t="str"/>
      <x:c r="Y16" s="23" t="str"/>
      <x:c r="Z16" s="23" t="n">
        <x:v>0.45</x:v>
      </x:c>
      <x:c r="AA16" s="23" t="n">
        <x:v>6.363028103540465</x:v>
      </x:c>
      <x:c r="AB16" s="23"/>
      <x:c r="AC16" s="23"/>
      <x:c r="AD16" s="23"/>
      <x:c r="AE16" s="23"/>
      <x:c r="AF16" s="23"/>
      <x:c r="AG16" s="23"/>
      <x:c r="AH16" s="22" t="str"/>
      <x:c r="AI16" s="24" t="str"/>
      <x:c r="AJ16" s="24" t="str">
        <x:v>https://finance.sina.com.cn/jjxw/2026-04-23/doc-inhvmvzh5090742.shtml</x:v>
      </x:c>
      <x:c r="AK16" s="24" t="str"/>
      <x:c r="AL16" s="24" t="str">
        <x:v>国产CMP设备唯一龙头，全球第三家12英寸CMP量产商。2026年4月第1000台CMP装备出机，存储/逻辑订单占比大，部分产能被核心客户提前锁定。先进制程机型订单显著增长，离子注入机交付存储龙头。</x:v>
      </x:c>
    </x:row>
    <x:row r="17">
      <x:c r="A17" s="22" t="str">
        <x:v>A-share</x:v>
      </x:c>
      <x:c r="B17" s="22" t="str">
        <x:v>688256</x:v>
      </x:c>
      <x:c r="C17" s="22" t="str">
        <x:v>寒武纪</x:v>
      </x:c>
      <x:c r="D17" s="22" t="str">
        <x:v>core</x:v>
      </x:c>
      <x:c r="E17" s="22" t="str">
        <x:v>核心芯片</x:v>
      </x:c>
      <x:c r="F17" s="22" t="str">
        <x:v>Yes</x:v>
      </x:c>
      <x:c r="G17" s="22" t="str"/>
      <x:c r="H17" s="23" t="n">
        <x:v>10</x:v>
      </x:c>
      <x:c r="I17" s="23" t="n">
        <x:v>7100</x:v>
      </x:c>
      <x:c r="J17" s="23" t="n">
        <x:v>4.5</x:v>
      </x:c>
      <x:c r="K17" s="23" t="n">
        <x:v>-0.10536051565782628</x:v>
      </x:c>
      <x:c r="L17" s="23" t="str">
        <x:v>2025Q1</x:v>
      </x:c>
      <x:c r="M17" s="23" t="n">
        <x:v>11.11</x:v>
      </x:c>
      <x:c r="N17" s="23" t="str">
        <x:v>2026Q1</x:v>
      </x:c>
      <x:c r="O17" s="23" t="n">
        <x:v>28.9</x:v>
      </x:c>
      <x:c r="P17" s="23" t="n">
        <x:v>160.12601260126013</x:v>
      </x:c>
      <x:c r="Q17" s="23" t="n">
        <x:v>54.3</x:v>
      </x:c>
      <x:c r="R17" s="23" t="n">
        <x:v>35.1</x:v>
      </x:c>
      <x:c r="S17" s="23" t="n">
        <x:v>35.1</x:v>
      </x:c>
      <x:c r="T17" s="23" t="n">
        <x:v>2.551281617919045</x:v>
      </x:c>
      <x:c r="U17" s="23" t="str">
        <x:v>历史加速 2.6ppt / 无forecast不扣分</x:v>
      </x:c>
      <x:c r="V17" s="23"/>
      <x:c r="W17" s="23" t="str"/>
      <x:c r="X17" s="23" t="str"/>
      <x:c r="Y17" s="23" t="str"/>
      <x:c r="Z17" s="23" t="n">
        <x:v>0.25</x:v>
      </x:c>
      <x:c r="AA17" s="23" t="n">
        <x:v>8.867850063029406</x:v>
      </x:c>
      <x:c r="AB17" s="23"/>
      <x:c r="AC17" s="23"/>
      <x:c r="AD17" s="23"/>
      <x:c r="AE17" s="23"/>
      <x:c r="AF17" s="23"/>
      <x:c r="AG17" s="23"/>
      <x:c r="AH17" s="22" t="str"/>
      <x:c r="AI17" s="24" t="str"/>
      <x:c r="AJ17" s="24" t="str">
        <x:v>https://finance.sina.com.cn/tech/roll/2026-05-01/doc-inhwktzf6603604.shtml</x:v>
      </x:c>
      <x:c r="AK17" s="24" t="str"/>
      <x:c r="AL17" s="24" t="str">
        <x:v>国产云端 AI 芯片龙头，思元系列对标英伟达，主线 ToB 政企/算力中心。受益国产替代+国内 AI 推训需求爆发。</x:v>
      </x:c>
    </x:row>
    <x:row r="18">
      <x:c r="A18" s="22" t="str">
        <x:v>A-share</x:v>
      </x:c>
      <x:c r="B18" s="22" t="str">
        <x:v>688347</x:v>
      </x:c>
      <x:c r="C18" s="22" t="str">
        <x:v>华虹公司</x:v>
      </x:c>
      <x:c r="D18" s="22" t="str">
        <x:v>base</x:v>
      </x:c>
      <x:c r="E18" s="22" t="str">
        <x:v>晶圆代工</x:v>
      </x:c>
      <x:c r="F18" s="22" t="str">
        <x:v>Yes</x:v>
      </x:c>
      <x:c r="G18" s="22" t="str"/>
      <x:c r="H18" s="23" t="n">
        <x:v>8</x:v>
      </x:c>
      <x:c r="I18" s="23" t="n">
        <x:v>2425</x:v>
      </x:c>
      <x:c r="J18" s="23" t="n">
        <x:v>3</x:v>
      </x:c>
      <x:c r="K18" s="23" t="n">
        <x:v>-0.5108256237659907</x:v>
      </x:c>
      <x:c r="L18" s="23" t="str">
        <x:v>2025Q1</x:v>
      </x:c>
      <x:c r="M18" s="23" t="n">
        <x:v>39.13</x:v>
      </x:c>
      <x:c r="N18" s="23" t="str">
        <x:v>2026Q1</x:v>
      </x:c>
      <x:c r="O18" s="23" t="n">
        <x:v>46.3</x:v>
      </x:c>
      <x:c r="P18" s="23" t="n">
        <x:v>18.323536928188066</x:v>
      </x:c>
      <x:c r="Q18" s="23" t="n">
        <x:v>17.6</x:v>
      </x:c>
      <x:c r="R18" s="23" t="n">
        <x:v>3</x:v>
      </x:c>
      <x:c r="S18" s="23" t="n">
        <x:v>3</x:v>
      </x:c>
      <x:c r="T18" s="23" t="n">
        <x:v>-7.430885482634314</x:v>
      </x:c>
      <x:c r="U18" s="23" t="str">
        <x:v>历史加速 -7.4ppt / 无forecast不扣分</x:v>
      </x:c>
      <x:c r="V18" s="23"/>
      <x:c r="W18" s="23" t="str"/>
      <x:c r="X18" s="23" t="str"/>
      <x:c r="Y18" s="23" t="str"/>
      <x:c r="Z18" s="23" t="n">
        <x:v>0.45</x:v>
      </x:c>
      <x:c r="AA18" s="23" t="n">
        <x:v>7.793586803371584</x:v>
      </x:c>
      <x:c r="AB18" s="23"/>
      <x:c r="AC18" s="23"/>
      <x:c r="AD18" s="23"/>
      <x:c r="AE18" s="23"/>
      <x:c r="AF18" s="23"/>
      <x:c r="AG18" s="23"/>
      <x:c r="AH18" s="22" t="str"/>
      <x:c r="AI18" s="24" t="str"/>
      <x:c r="AJ18" s="24" t="str">
        <x:v>https://stockmc.xueqiu.com/202604/688347_20260430_DFWW.pdf</x:v>
      </x:c>
      <x:c r="AK18" s="24" t="str"/>
      <x:c r="AL18" s="24" t="str">
        <x:v>国内第二大晶圆代工厂，特色工艺（功率/模拟/存储）龙头。8 寸+12 寸双线，受益 IDM 国产替代。</x:v>
      </x:c>
    </x:row>
    <x:row r="19">
      <x:c r="A19" s="22" t="str">
        <x:v>A-share</x:v>
      </x:c>
      <x:c r="B19" s="22" t="str">
        <x:v>688676</x:v>
      </x:c>
      <x:c r="C19" s="22" t="str">
        <x:v>金盘科技</x:v>
      </x:c>
      <x:c r="D19" s="22" t="str">
        <x:v>power</x:v>
      </x:c>
      <x:c r="E19" s="22" t="str">
        <x:v>干式变压器</x:v>
      </x:c>
      <x:c r="F19" s="22" t="str">
        <x:v>Yes</x:v>
      </x:c>
      <x:c r="G19" s="22" t="str"/>
      <x:c r="H19" s="23" t="n">
        <x:v>7</x:v>
      </x:c>
      <x:c r="I19" s="23" t="n">
        <x:v>320</x:v>
      </x:c>
      <x:c r="J19" s="23" t="n">
        <x:v>5</x:v>
      </x:c>
      <x:c r="K19" s="23" t="n">
        <x:v>0</x:v>
      </x:c>
      <x:c r="L19" s="23" t="str">
        <x:v>2025Q1</x:v>
      </x:c>
      <x:c r="M19" s="23" t="n">
        <x:v>13.43</x:v>
      </x:c>
      <x:c r="N19" s="23" t="str">
        <x:v>2026Q1</x:v>
      </x:c>
      <x:c r="O19" s="23" t="n">
        <x:v>15.23</x:v>
      </x:c>
      <x:c r="P19" s="23" t="n">
        <x:v>13.402829486224865</x:v>
      </x:c>
      <x:c r="Q19" s="23" t="n">
        <x:v>25.74</x:v>
      </x:c>
      <x:c r="R19" s="23" t="n">
        <x:v>7.35</x:v>
      </x:c>
      <x:c r="S19" s="23" t="n">
        <x:v>7.35</x:v>
      </x:c>
      <x:c r="T19" s="23" t="n">
        <x:v>-35.96991055273799</x:v>
      </x:c>
      <x:c r="U19" s="23" t="str">
        <x:v>历史加速 -36.0ppt / 无forecast不扣分</x:v>
      </x:c>
      <x:c r="V19" s="23"/>
      <x:c r="W19" s="23" t="str"/>
      <x:c r="X19" s="23" t="str"/>
      <x:c r="Y19" s="23" t="str"/>
      <x:c r="Z19" s="23" t="n">
        <x:v>0.25</x:v>
      </x:c>
      <x:c r="AA19" s="23" t="n">
        <x:v>5.768320995793772</x:v>
      </x:c>
      <x:c r="AB19" s="23"/>
      <x:c r="AC19" s="23"/>
      <x:c r="AD19" s="23"/>
      <x:c r="AE19" s="23"/>
      <x:c r="AF19" s="23"/>
      <x:c r="AG19" s="23"/>
      <x:c r="AH19" s="22" t="str"/>
      <x:c r="AI19" s="24" t="str"/>
      <x:c r="AJ19" s="24" t="str">
        <x:v>https://finance.sina.com.cn/jjxw/2026-04-24/doc-inhvqfhe4435411.shtml</x:v>
      </x:c>
      <x:c r="AK19" s="24" t="str">
        <x:v>营收+13.41% YoY; 归母+4.83% YoY</x:v>
      </x:c>
      <x:c r="AL19" s="24" t="str">
        <x:v>国内干式变压器龙头，数据中心专用变压器主力供应商。2025 数据中心营收 +196.78%；海外 SST 在手订单 69.6亿元（≈H1 全年 1.4x）；10kV/2.4MW 固态变压器适配 HVDC 800V，进入华为/百度/阿里 AI 供应链；海外占比 30%+，三厂爬坡中。</x:v>
      </x:c>
    </x:row>
    <x:row r="20">
      <x:c r="A20" s="22" t="str">
        <x:v>A-share</x:v>
      </x:c>
      <x:c r="B20" s="22" t="str">
        <x:v>688981</x:v>
      </x:c>
      <x:c r="C20" s="22" t="str">
        <x:v>中芯国际</x:v>
      </x:c>
      <x:c r="D20" s="22" t="str">
        <x:v>base</x:v>
      </x:c>
      <x:c r="E20" s="22" t="str">
        <x:v>晶圆代工</x:v>
      </x:c>
      <x:c r="F20" s="22" t="str">
        <x:v>Yes</x:v>
      </x:c>
      <x:c r="G20" s="22" t="str"/>
      <x:c r="H20" s="23" t="n">
        <x:v>10</x:v>
      </x:c>
      <x:c r="I20" s="23" t="n">
        <x:v>15540</x:v>
      </x:c>
      <x:c r="J20" s="23" t="n">
        <x:v>1.8</x:v>
      </x:c>
      <x:c r="K20" s="23" t="n">
        <x:v>-1.0216512475319814</x:v>
      </x:c>
      <x:c r="L20" s="23" t="str">
        <x:v>2025Q1</x:v>
      </x:c>
      <x:c r="M20" s="23" t="n">
        <x:v>163.01</x:v>
      </x:c>
      <x:c r="N20" s="23" t="str">
        <x:v>2026Q1</x:v>
      </x:c>
      <x:c r="O20" s="23" t="n">
        <x:v>176.2</x:v>
      </x:c>
      <x:c r="P20" s="23" t="n">
        <x:v>8.09152812710876</x:v>
      </x:c>
      <x:c r="Q20" s="23" t="n">
        <x:v>21.48</x:v>
      </x:c>
      <x:c r="R20" s="23" t="n">
        <x:v>7.7</x:v>
      </x:c>
      <x:c r="S20" s="23" t="n">
        <x:v>7.7</x:v>
      </x:c>
      <x:c r="T20" s="23" t="n">
        <x:v>-1.3275213112315944</x:v>
      </x:c>
      <x:c r="U20" s="23" t="str">
        <x:v>历史加速 -1.3ppt / 无forecast不扣分</x:v>
      </x:c>
      <x:c r="V20" s="23"/>
      <x:c r="W20" s="23" t="str"/>
      <x:c r="X20" s="23" t="str"/>
      <x:c r="Y20" s="23" t="str"/>
      <x:c r="Z20" s="23" t="n">
        <x:v>0.45</x:v>
      </x:c>
      <x:c r="AA20" s="23" t="n">
        <x:v>9.651172623921639</x:v>
      </x:c>
      <x:c r="AB20" s="23"/>
      <x:c r="AC20" s="23"/>
      <x:c r="AD20" s="23"/>
      <x:c r="AE20" s="23"/>
      <x:c r="AF20" s="23"/>
      <x:c r="AG20" s="23"/>
      <x:c r="AH20" s="22" t="str"/>
      <x:c r="AI20" s="24" t="str"/>
      <x:c r="AJ20" s="24" t="str">
        <x:v>https://finance.sina.com.cn/jjxw/2026-05-15/doc-inhxycck8172655.shtml</x:v>
      </x:c>
      <x:c r="AK20" s="24" t="str"/>
      <x:c r="AL20" s="24" t="str">
        <x:v>国内最大晶圆代工厂，14nm/28nm 成熟制程产能领先。受美国制裁但国产替代订单饱满。</x:v>
      </x:c>
    </x:row>
    <x:row r="21">
      <x:c r="A21" s="22" t="str">
        <x:v>A-share</x:v>
      </x:c>
      <x:c r="B21" s="22" t="str">
        <x:v>002261</x:v>
      </x:c>
      <x:c r="C21" s="22" t="str">
        <x:v>拓维信息</x:v>
      </x:c>
      <x:c r="D21" s="22" t="str">
        <x:v>hw</x:v>
      </x:c>
      <x:c r="E21" s="22" t="str">
        <x:v>昇腾整机</x:v>
      </x:c>
      <x:c r="F21" s="22" t="str">
        <x:v>Yes</x:v>
      </x:c>
      <x:c r="G21" s="22" t="str"/>
      <x:c r="H21" s="23" t="n">
        <x:v>9</x:v>
      </x:c>
      <x:c r="I21" s="23" t="n">
        <x:v>420</x:v>
      </x:c>
      <x:c r="J21" s="23" t="n">
        <x:v>8</x:v>
      </x:c>
      <x:c r="K21" s="23" t="n">
        <x:v>-0.4700036292457356</x:v>
      </x:c>
      <x:c r="L21" s="23" t="str">
        <x:v>2025Q1</x:v>
      </x:c>
      <x:c r="M21" s="23" t="n">
        <x:v>6.23</x:v>
      </x:c>
      <x:c r="N21" s="23" t="str">
        <x:v>2026Q1</x:v>
      </x:c>
      <x:c r="O21" s="23" t="n">
        <x:v>5.9</x:v>
      </x:c>
      <x:c r="P21" s="23" t="n">
        <x:v>-5.296950240770471</x:v>
      </x:c>
      <x:c r="Q21" s="23" t="n">
        <x:v>17.2</x:v>
      </x:c>
      <x:c r="R21" s="23" t="n">
        <x:v>10.4</x:v>
      </x:c>
      <x:c r="S21" s="23" t="n">
        <x:v>10.4</x:v>
      </x:c>
      <x:c r="T21" s="23" t="n">
        <x:v>-13.348844940418275</x:v>
      </x:c>
      <x:c r="U21" s="23" t="str">
        <x:v>历史加速 -13.3ppt / 无forecast不扣分</x:v>
      </x:c>
      <x:c r="V21" s="23"/>
      <x:c r="W21" s="23" t="str"/>
      <x:c r="X21" s="23" t="str"/>
      <x:c r="Y21" s="23" t="str"/>
      <x:c r="Z21" s="23" t="n">
        <x:v>0.35</x:v>
      </x:c>
      <x:c r="AA21" s="23" t="n">
        <x:v>6.040254711277414</x:v>
      </x:c>
      <x:c r="AB21" s="23"/>
      <x:c r="AC21" s="23"/>
      <x:c r="AD21" s="23"/>
      <x:c r="AE21" s="23"/>
      <x:c r="AF21" s="23"/>
      <x:c r="AG21" s="23"/>
      <x:c r="AH21" s="22" t="str"/>
      <x:c r="AI21" s="24" t="str"/>
      <x:c r="AJ21" s="24" t="str">
        <x:v>https://stock.stockstar.com/RB2026042900027382.shtml</x:v>
      </x:c>
      <x:c r="AK21" s="24" t="str"/>
      <x:c r="AL21" s="24" t="str">
        <x:v>昇腾整机/华为生态合作核心，鲲鹏+昇腾全栈一体机供应商。教育信息化为基本盘，AI 算力是高弹性看点。</x:v>
      </x:c>
    </x:row>
    <x:row r="22">
      <x:c r="A22" s="22" t="str">
        <x:v>A-share</x:v>
      </x:c>
      <x:c r="B22" s="22" t="str">
        <x:v>002837</x:v>
      </x:c>
      <x:c r="C22" s="22" t="str">
        <x:v>英维克</x:v>
      </x:c>
      <x:c r="D22" s="22" t="str">
        <x:v>infra</x:v>
      </x:c>
      <x:c r="E22" s="22" t="str">
        <x:v>液冷</x:v>
      </x:c>
      <x:c r="F22" s="22" t="str">
        <x:v>Yes</x:v>
      </x:c>
      <x:c r="G22" s="22" t="str"/>
      <x:c r="H22" s="23" t="n">
        <x:v>7</x:v>
      </x:c>
      <x:c r="I22" s="23" t="n">
        <x:v>636</x:v>
      </x:c>
      <x:c r="J22" s="23" t="n">
        <x:v>3.5</x:v>
      </x:c>
      <x:c r="K22" s="23" t="n">
        <x:v>-0.35667494393873245</x:v>
      </x:c>
      <x:c r="L22" s="23" t="str">
        <x:v>2025Q1</x:v>
      </x:c>
      <x:c r="M22" s="23" t="n">
        <x:v>9.33</x:v>
      </x:c>
      <x:c r="N22" s="23" t="str">
        <x:v>2026Q1</x:v>
      </x:c>
      <x:c r="O22" s="23" t="n">
        <x:v>11.8</x:v>
      </x:c>
      <x:c r="P22" s="23" t="n">
        <x:v>26.4737406216506</x:v>
      </x:c>
      <x:c r="Q22" s="23" t="n">
        <x:v>24.3</x:v>
      </x:c>
      <x:c r="R22" s="23" t="n">
        <x:v>0.7</x:v>
      </x:c>
      <x:c r="S22" s="23" t="n">
        <x:v>0.7</x:v>
      </x:c>
      <x:c r="T22" s="23" t="n">
        <x:v>-32.82945247794801</x:v>
      </x:c>
      <x:c r="U22" s="23" t="str">
        <x:v>历史加速 -32.8ppt / 无forecast不扣分</x:v>
      </x:c>
      <x:c r="V22" s="23"/>
      <x:c r="W22" s="23" t="str"/>
      <x:c r="X22" s="23" t="str"/>
      <x:c r="Y22" s="23" t="str"/>
      <x:c r="Z22" s="23" t="n">
        <x:v>0.4</x:v>
      </x:c>
      <x:c r="AA22" s="23" t="n">
        <x:v>6.455198563340122</x:v>
      </x:c>
      <x:c r="AB22" s="23"/>
      <x:c r="AC22" s="23"/>
      <x:c r="AD22" s="23"/>
      <x:c r="AE22" s="23"/>
      <x:c r="AF22" s="23"/>
      <x:c r="AG22" s="23"/>
      <x:c r="AH22" s="22" t="str"/>
      <x:c r="AI22" s="24" t="str"/>
      <x:c r="AJ22" s="24" t="str">
        <x:v>https://stock.stockstar.com/RB2026042200011660.shtml</x:v>
      </x:c>
      <x:c r="AK22" s="24" t="str"/>
      <x:c r="AL22" s="24" t="str">
        <x:v>数据中心液冷/精密温控龙头，冷板/浸没式方案均布局，CDU/Manifold 全产业链。AI 服务器液冷渗透率提升核心受益。</x:v>
      </x:c>
    </x:row>
    <x:row r="23">
      <x:c r="A23" s="22" t="str">
        <x:v>A-share</x:v>
      </x:c>
      <x:c r="B23" s="22" t="str">
        <x:v>000977</x:v>
      </x:c>
      <x:c r="C23" s="22" t="str">
        <x:v>浪潮信息</x:v>
      </x:c>
      <x:c r="D23" s="22" t="str">
        <x:v>hw</x:v>
      </x:c>
      <x:c r="E23" s="22" t="str">
        <x:v>整机集成</x:v>
      </x:c>
      <x:c r="F23" s="22" t="str">
        <x:v>No</x:v>
      </x:c>
      <x:c r="G23" s="22" t="str">
        <x:v>Quarter has null rev/gm/nm</x:v>
      </x:c>
      <x:c r="H23" s="23" t="n">
        <x:v>6</x:v>
      </x:c>
      <x:c r="I23" s="23" t="n">
        <x:v>1029</x:v>
      </x:c>
      <x:c r="J23" s="23" t="n">
        <x:v>4.5</x:v>
      </x:c>
      <x:c r="K23" s="23" t="n">
        <x:v>-0.10536051565782628</x:v>
      </x:c>
      <x:c r="L23" s="23" t="str">
        <x:v>2025Q1</x:v>
      </x:c>
      <x:c r="M23" s="23"/>
      <x:c r="N23" s="23" t="str">
        <x:v>2026Q1</x:v>
      </x:c>
      <x:c r="O23" s="23" t="n">
        <x:v>354.7</x:v>
      </x:c>
      <x:c r="P23" s="23"/>
      <x:c r="Q23" s="23" t="n">
        <x:v>6.6</x:v>
      </x:c>
      <x:c r="R23" s="23" t="n">
        <x:v>1.7</x:v>
      </x:c>
      <x:c r="S23" s="23" t="n">
        <x:v>1.7</x:v>
      </x:c>
      <x:c r="T23" s="23"/>
      <x:c r="U23" s="23" t="str">
        <x:v>历史不足</x:v>
      </x:c>
      <x:c r="V23" s="23"/>
      <x:c r="W23" s="23" t="str"/>
      <x:c r="X23" s="23" t="str"/>
      <x:c r="Y23" s="23" t="str"/>
      <x:c r="Z23" s="23" t="n">
        <x:v>0.35</x:v>
      </x:c>
      <x:c r="AA23" s="23" t="n">
        <x:v>6.9363427358340495</x:v>
      </x:c>
      <x:c r="AB23" s="23"/>
      <x:c r="AC23" s="23"/>
      <x:c r="AD23" s="23"/>
      <x:c r="AE23" s="23"/>
      <x:c r="AF23" s="23"/>
      <x:c r="AG23" s="23"/>
      <x:c r="AH23" s="22" t="str"/>
      <x:c r="AI23" s="24" t="str"/>
      <x:c r="AJ23" s="24" t="str">
        <x:v>https://finance.sina.com.cn/jjxw/2026-04-30/doc-inhwftwe7503364.shtml</x:v>
      </x:c>
      <x:c r="AK23" s="24" t="str"/>
      <x:c r="AL23" s="24" t="str">
        <x:v>全球第二大 X86 服务器厂商，国内市占率第一。AI 服务器订单旺盛但毛利率受供应链压制。</x:v>
      </x:c>
    </x:row>
    <x:row r="24">
      <x:c r="A24" s="22" t="str">
        <x:v>A-share</x:v>
      </x:c>
      <x:c r="B24" s="22" t="str">
        <x:v>000034</x:v>
      </x:c>
      <x:c r="C24" s="22" t="str">
        <x:v>神州数码</x:v>
      </x:c>
      <x:c r="D24" s="22" t="str">
        <x:v>hw</x:v>
      </x:c>
      <x:c r="E24" s="22" t="str">
        <x:v>昇腾整机</x:v>
      </x:c>
      <x:c r="F24" s="22" t="str">
        <x:v>Yes</x:v>
      </x:c>
      <x:c r="G24" s="22" t="str"/>
      <x:c r="H24" s="23" t="n">
        <x:v>7</x:v>
      </x:c>
      <x:c r="I24" s="23" t="n">
        <x:v>720</x:v>
      </x:c>
      <x:c r="J24" s="23" t="n">
        <x:v>5.5</x:v>
      </x:c>
      <x:c r="K24" s="23" t="n">
        <x:v>-0.09531017980432493</x:v>
      </x:c>
      <x:c r="L24" s="23" t="str">
        <x:v>2025Q1</x:v>
      </x:c>
      <x:c r="M24" s="23" t="n">
        <x:v>317.78</x:v>
      </x:c>
      <x:c r="N24" s="23" t="str">
        <x:v>2026Q1</x:v>
      </x:c>
      <x:c r="O24" s="23" t="n">
        <x:v>405.6</x:v>
      </x:c>
      <x:c r="P24" s="23" t="n">
        <x:v>27.635471080621834</x:v>
      </x:c>
      <x:c r="Q24" s="23" t="n">
        <x:v>3.4</x:v>
      </x:c>
      <x:c r="R24" s="23" t="n">
        <x:v>0.6</x:v>
      </x:c>
      <x:c r="S24" s="23" t="n">
        <x:v>0.6</x:v>
      </x:c>
      <x:c r="T24" s="23" t="n">
        <x:v>14.936257679313835</x:v>
      </x:c>
      <x:c r="U24" s="23" t="str">
        <x:v>历史加速 14.9ppt / 无forecast不扣分</x:v>
      </x:c>
      <x:c r="V24" s="23"/>
      <x:c r="W24" s="23" t="str"/>
      <x:c r="X24" s="23" t="str"/>
      <x:c r="Y24" s="23" t="str"/>
      <x:c r="Z24" s="23" t="n">
        <x:v>0.35</x:v>
      </x:c>
      <x:c r="AA24" s="23" t="n">
        <x:v>6.579251212010101</x:v>
      </x:c>
      <x:c r="AB24" s="23"/>
      <x:c r="AC24" s="23"/>
      <x:c r="AD24" s="23"/>
      <x:c r="AE24" s="23"/>
      <x:c r="AF24" s="23"/>
      <x:c r="AG24" s="23"/>
      <x:c r="AH24" s="22" t="str"/>
      <x:c r="AI24" s="24" t="str"/>
      <x:c r="AJ24" s="24" t="str">
        <x:v>https://stock.stockstar.com/SS2026042900039497.shtml</x:v>
      </x:c>
      <x:c r="AK24" s="24" t="str"/>
      <x:c r="AL24" s="24" t="str">
        <x:v>ICT 分销+昇腾整机生态。云联管平台向 AaaS 服务转型，鲲鹏/昇腾一体机收入快速放量。</x:v>
      </x:c>
    </x:row>
    <x:row r="25">
      <x:c r="A25" s="22" t="str">
        <x:v>A-share</x:v>
      </x:c>
      <x:c r="B25" s="22" t="str">
        <x:v>000938</x:v>
      </x:c>
      <x:c r="C25" s="22" t="str">
        <x:v>紫光股份</x:v>
      </x:c>
      <x:c r="D25" s="22" t="str">
        <x:v>hw</x:v>
      </x:c>
      <x:c r="E25" s="22" t="str">
        <x:v>算力网络</x:v>
      </x:c>
      <x:c r="F25" s="22" t="str">
        <x:v>Yes</x:v>
      </x:c>
      <x:c r="G25" s="22" t="str"/>
      <x:c r="H25" s="23" t="n">
        <x:v>7</x:v>
      </x:c>
      <x:c r="I25" s="23" t="n">
        <x:v>916</x:v>
      </x:c>
      <x:c r="J25" s="23" t="n">
        <x:v>3.2</x:v>
      </x:c>
      <x:c r="K25" s="23" t="n">
        <x:v>-0.4462871026284195</x:v>
      </x:c>
      <x:c r="L25" s="23" t="str">
        <x:v>2025Q1</x:v>
      </x:c>
      <x:c r="M25" s="23" t="n">
        <x:v>207.9</x:v>
      </x:c>
      <x:c r="N25" s="23" t="str">
        <x:v>2026Q1</x:v>
      </x:c>
      <x:c r="O25" s="23" t="n">
        <x:v>279.9</x:v>
      </x:c>
      <x:c r="P25" s="23" t="n">
        <x:v>34.63203463203462</x:v>
      </x:c>
      <x:c r="Q25" s="23" t="n">
        <x:v>12.9</x:v>
      </x:c>
      <x:c r="R25" s="23" t="n">
        <x:v>2.8</x:v>
      </x:c>
      <x:c r="S25" s="23" t="n">
        <x:v>2.8</x:v>
      </x:c>
      <x:c r="T25" s="23" t="n">
        <x:v>-15.668451817783879</x:v>
      </x:c>
      <x:c r="U25" s="23" t="str">
        <x:v>历史加速 -15.7ppt / 无forecast不扣分</x:v>
      </x:c>
      <x:c r="V25" s="23"/>
      <x:c r="W25" s="23" t="str"/>
      <x:c r="X25" s="23" t="str"/>
      <x:c r="Y25" s="23" t="str"/>
      <x:c r="Z25" s="23" t="n">
        <x:v>0.35</x:v>
      </x:c>
      <x:c r="AA25" s="23" t="n">
        <x:v>6.82001636467413</x:v>
      </x:c>
      <x:c r="AB25" s="23"/>
      <x:c r="AC25" s="23"/>
      <x:c r="AD25" s="23"/>
      <x:c r="AE25" s="23"/>
      <x:c r="AF25" s="23"/>
      <x:c r="AG25" s="23"/>
      <x:c r="AH25" s="22" t="str"/>
      <x:c r="AI25" s="24" t="str"/>
      <x:c r="AJ25" s="24" t="str">
        <x:v>https://www.stcn.com/article/detail/3844726.html</x:v>
      </x:c>
      <x:c r="AK25" s="24" t="str"/>
      <x:c r="AL25" s="24" t="str">
        <x:v>国产数据中心交换机/路由器龙头（紫光/新华三），DPU/AI 网络芯片协同。算力网络互联核心标的。</x:v>
      </x:c>
    </x:row>
    <x:row r="26">
      <x:c r="A26" s="22" t="str">
        <x:v>A-share</x:v>
      </x:c>
      <x:c r="B26" s="22" t="str">
        <x:v>002156</x:v>
      </x:c>
      <x:c r="C26" s="22" t="str">
        <x:v>通富微电</x:v>
      </x:c>
      <x:c r="D26" s="22" t="str">
        <x:v>base</x:v>
      </x:c>
      <x:c r="E26" s="22" t="str">
        <x:v>先进封装</x:v>
      </x:c>
      <x:c r="F26" s="22" t="str">
        <x:v>No</x:v>
      </x:c>
      <x:c r="G26" s="22" t="str">
        <x:v>Quarter has null rev/gm/nm</x:v>
      </x:c>
      <x:c r="H26" s="23" t="n">
        <x:v>8</x:v>
      </x:c>
      <x:c r="I26" s="23" t="n">
        <x:v>790</x:v>
      </x:c>
      <x:c r="J26" s="23" t="n">
        <x:v>4.8</x:v>
      </x:c>
      <x:c r="K26" s="23" t="n">
        <x:v>-0.040821994520255166</x:v>
      </x:c>
      <x:c r="L26" s="23" t="str">
        <x:v>2025Q1</x:v>
      </x:c>
      <x:c r="M26" s="23"/>
      <x:c r="N26" s="23" t="str">
        <x:v>2026Q1</x:v>
      </x:c>
      <x:c r="O26" s="23" t="n">
        <x:v>74.8</x:v>
      </x:c>
      <x:c r="P26" s="23"/>
      <x:c r="Q26" s="23" t="n">
        <x:v>13.3</x:v>
      </x:c>
      <x:c r="R26" s="23" t="n">
        <x:v>4.4</x:v>
      </x:c>
      <x:c r="S26" s="23" t="n">
        <x:v>4.4</x:v>
      </x:c>
      <x:c r="T26" s="23"/>
      <x:c r="U26" s="23" t="str">
        <x:v>历史不足</x:v>
      </x:c>
      <x:c r="V26" s="23"/>
      <x:c r="W26" s="23" t="str"/>
      <x:c r="X26" s="23" t="str"/>
      <x:c r="Y26" s="23" t="str"/>
      <x:c r="Z26" s="23" t="n">
        <x:v>0.45</x:v>
      </x:c>
      <x:c r="AA26" s="23" t="n">
        <x:v>6.672032945461067</x:v>
      </x:c>
      <x:c r="AB26" s="23"/>
      <x:c r="AC26" s="23"/>
      <x:c r="AD26" s="23"/>
      <x:c r="AE26" s="23"/>
      <x:c r="AF26" s="23"/>
      <x:c r="AG26" s="23"/>
      <x:c r="AH26" s="22" t="str"/>
      <x:c r="AI26" s="24" t="str"/>
      <x:c r="AJ26" s="24" t="str">
        <x:v>https://finance.sina.com.cn/jjxw/2026-04-30/doc-inhwftwe7504836.shtml</x:v>
      </x:c>
      <x:c r="AK26" s="24" t="str"/>
      <x:c r="AL26" s="24" t="str">
        <x:v>国内先进封装龙头，AMD 主供 + 海光合作。HBM 封装/Chiplet/2.5D 方案布局，AI 芯片国产化关键环节。</x:v>
      </x:c>
    </x:row>
    <x:row r="27">
      <x:c r="A27" s="22" t="str">
        <x:v>A-share</x:v>
      </x:c>
      <x:c r="B27" s="22" t="str">
        <x:v>002409</x:v>
      </x:c>
      <x:c r="C27" s="22" t="str">
        <x:v>雅克科技</x:v>
      </x:c>
      <x:c r="D27" s="22" t="str">
        <x:v>base</x:v>
      </x:c>
      <x:c r="E27" s="22" t="str">
        <x:v>HBM 材料</x:v>
      </x:c>
      <x:c r="F27" s="22" t="str">
        <x:v>Yes</x:v>
      </x:c>
      <x:c r="G27" s="22" t="str"/>
      <x:c r="H27" s="23" t="n">
        <x:v>7</x:v>
      </x:c>
      <x:c r="I27" s="23" t="n">
        <x:v>400</x:v>
      </x:c>
      <x:c r="J27" s="23" t="n">
        <x:v>6</x:v>
      </x:c>
      <x:c r="K27" s="23" t="n">
        <x:v>-0.1823215567939546</x:v>
      </x:c>
      <x:c r="L27" s="23" t="str">
        <x:v>2025Q1</x:v>
      </x:c>
      <x:c r="M27" s="23" t="n">
        <x:v>13.5</x:v>
      </x:c>
      <x:c r="N27" s="23" t="str">
        <x:v>2026Q1</x:v>
      </x:c>
      <x:c r="O27" s="23" t="n">
        <x:v>19.7</x:v>
      </x:c>
      <x:c r="P27" s="23" t="n">
        <x:v>45.925925925925924</x:v>
      </x:c>
      <x:c r="Q27" s="23" t="n">
        <x:v>31.3</x:v>
      </x:c>
      <x:c r="R27" s="23" t="n">
        <x:v>13.5</x:v>
      </x:c>
      <x:c r="S27" s="23" t="n">
        <x:v>13.5</x:v>
      </x:c>
      <x:c r="T27" s="23" t="n">
        <x:v>-35.17458979902937</x:v>
      </x:c>
      <x:c r="U27" s="23" t="str">
        <x:v>历史加速 -35.2ppt / 无forecast不扣分</x:v>
      </x:c>
      <x:c r="V27" s="23"/>
      <x:c r="W27" s="23" t="str"/>
      <x:c r="X27" s="23" t="str"/>
      <x:c r="Y27" s="23" t="str"/>
      <x:c r="Z27" s="23" t="n">
        <x:v>0.45</x:v>
      </x:c>
      <x:c r="AA27" s="23" t="n">
        <x:v>5.991464547107982</x:v>
      </x:c>
      <x:c r="AB27" s="23"/>
      <x:c r="AC27" s="23"/>
      <x:c r="AD27" s="23"/>
      <x:c r="AE27" s="23"/>
      <x:c r="AF27" s="23"/>
      <x:c r="AG27" s="23"/>
      <x:c r="AH27" s="22" t="str"/>
      <x:c r="AI27" s="24" t="str"/>
      <x:c r="AJ27" s="24" t="str">
        <x:v>https://news.qq.com/rain/a/20260429A02A0N00</x:v>
      </x:c>
      <x:c r="AK27" s="24" t="str"/>
      <x:c r="AL27" s="24" t="str">
        <x:v>半导体材料平台，光刻胶/前驱体/电子特气全布局，HBM 用 LCP 薄膜独家供应。</x:v>
      </x:c>
    </x:row>
    <x:row r="28">
      <x:c r="A28" s="22" t="str">
        <x:v>A-share</x:v>
      </x:c>
      <x:c r="B28" s="22" t="str">
        <x:v>002463</x:v>
      </x:c>
      <x:c r="C28" s="22" t="str">
        <x:v>沪电股份</x:v>
      </x:c>
      <x:c r="D28" s="22" t="str">
        <x:v>infra</x:v>
      </x:c>
      <x:c r="E28" s="22" t="str">
        <x:v>AI PCB</x:v>
      </x:c>
      <x:c r="F28" s="22" t="str">
        <x:v>Yes</x:v>
      </x:c>
      <x:c r="G28" s="22" t="str"/>
      <x:c r="H28" s="23" t="n">
        <x:v>8</x:v>
      </x:c>
      <x:c r="I28" s="23" t="n">
        <x:v>2100</x:v>
      </x:c>
      <x:c r="J28" s="23" t="n">
        <x:v>4.5</x:v>
      </x:c>
      <x:c r="K28" s="23" t="n">
        <x:v>-0.10536051565782628</x:v>
      </x:c>
      <x:c r="L28" s="23" t="str">
        <x:v>2025Q1</x:v>
      </x:c>
      <x:c r="M28" s="23" t="n">
        <x:v>40.38</x:v>
      </x:c>
      <x:c r="N28" s="23" t="str">
        <x:v>2026Q1</x:v>
      </x:c>
      <x:c r="O28" s="23" t="n">
        <x:v>62.14</x:v>
      </x:c>
      <x:c r="P28" s="23" t="n">
        <x:v>53.88806339772163</x:v>
      </x:c>
      <x:c r="Q28" s="23" t="n">
        <x:v>35.63</x:v>
      </x:c>
      <x:c r="R28" s="23" t="n">
        <x:v>19.98</x:v>
      </x:c>
      <x:c r="S28" s="23" t="n">
        <x:v>19.98</x:v>
      </x:c>
      <x:c r="T28" s="23" t="n">
        <x:v>-0.18126949958368144</x:v>
      </x:c>
      <x:c r="U28" s="23" t="str">
        <x:v>历史加速 -0.2ppt / 无forecast不扣分</x:v>
      </x:c>
      <x:c r="V28" s="23"/>
      <x:c r="W28" s="23" t="str"/>
      <x:c r="X28" s="23" t="str"/>
      <x:c r="Y28" s="23" t="str"/>
      <x:c r="Z28" s="23" t="n">
        <x:v>0.4</x:v>
      </x:c>
      <x:c r="AA28" s="23" t="n">
        <x:v>7.649692623711514</x:v>
      </x:c>
      <x:c r="AB28" s="23"/>
      <x:c r="AC28" s="23"/>
      <x:c r="AD28" s="23"/>
      <x:c r="AE28" s="23"/>
      <x:c r="AF28" s="23"/>
      <x:c r="AG28" s="23"/>
      <x:c r="AH28" s="22" t="str"/>
      <x:c r="AI28" s="24" t="str"/>
      <x:c r="AJ28" s="24" t="str">
        <x:v>https://finance.sina.com.cn/stock/relnews/cn/2026-04-22/doc-inhvkqha6082058.shtml</x:v>
      </x:c>
      <x:c r="AK28" s="24" t="str"/>
      <x:c r="AL28" s="24" t="str">
        <x:v>AI服务器/交换机PCB龙头，英伟达GB200/GB300核心供应商，北美AI服务器份额超80%。GB300订单排至2026Q3，单机柜价值量超500美元，泰国二期产能2026年贡献50-60亿元营收。</x:v>
      </x:c>
    </x:row>
    <x:row r="29">
      <x:c r="A29" s="22" t="str">
        <x:v>A-share</x:v>
      </x:c>
      <x:c r="B29" s="22" t="str">
        <x:v>002371</x:v>
      </x:c>
      <x:c r="C29" s="22" t="str">
        <x:v>北方华创</x:v>
      </x:c>
      <x:c r="D29" s="22" t="str">
        <x:v>base</x:v>
      </x:c>
      <x:c r="E29" s="22" t="str">
        <x:v>半导体设备</x:v>
      </x:c>
      <x:c r="F29" s="22" t="str">
        <x:v>No</x:v>
      </x:c>
      <x:c r="G29" s="22" t="str">
        <x:v>Quarter has null rev/gm/nm</x:v>
      </x:c>
      <x:c r="H29" s="23" t="n">
        <x:v>9</x:v>
      </x:c>
      <x:c r="I29" s="23" t="n">
        <x:v>3050</x:v>
      </x:c>
      <x:c r="J29" s="23" t="n">
        <x:v>1.5</x:v>
      </x:c>
      <x:c r="K29" s="23" t="n">
        <x:v>-1.2039728043259361</x:v>
      </x:c>
      <x:c r="L29" s="23" t="str">
        <x:v>2025Q1</x:v>
      </x:c>
      <x:c r="M29" s="23"/>
      <x:c r="N29" s="23" t="str">
        <x:v>2026Q1</x:v>
      </x:c>
      <x:c r="O29" s="23" t="n">
        <x:v>103.23</x:v>
      </x:c>
      <x:c r="P29" s="23"/>
      <x:c r="Q29" s="23" t="n">
        <x:v>40.8</x:v>
      </x:c>
      <x:c r="R29" s="23" t="n">
        <x:v>15.84</x:v>
      </x:c>
      <x:c r="S29" s="23" t="n">
        <x:v>15.84</x:v>
      </x:c>
      <x:c r="T29" s="23"/>
      <x:c r="U29" s="23" t="str">
        <x:v>历史不足</x:v>
      </x:c>
      <x:c r="V29" s="23"/>
      <x:c r="W29" s="23" t="str"/>
      <x:c r="X29" s="23" t="str"/>
      <x:c r="Y29" s="23" t="str"/>
      <x:c r="Z29" s="23" t="n">
        <x:v>0.45</x:v>
      </x:c>
      <x:c r="AA29" s="23" t="n">
        <x:v>8.022896869601457</x:v>
      </x:c>
      <x:c r="AB29" s="23"/>
      <x:c r="AC29" s="23"/>
      <x:c r="AD29" s="23"/>
      <x:c r="AE29" s="23"/>
      <x:c r="AF29" s="23"/>
      <x:c r="AG29" s="23"/>
      <x:c r="AH29" s="22" t="str"/>
      <x:c r="AI29" s="24" t="str"/>
      <x:c r="AJ29" s="24" t="str">
        <x:v>https://finance.eastmoney.com/a/202605013727341211.html</x:v>
      </x:c>
      <x:c r="AK29" s="24" t="str"/>
      <x:c r="AL29" s="24" t="str">
        <x:v>国内半导体设备综合龙头，刻蚀/沉积/扩散/CMP/清洗/离子注入全平台布局，控股芯源微进一步拓展涂胶显影/清洗/封装设备。受益AI驱动晶圆厂史诗级扩产，2026年全球设备销售预期1450亿美元。</x:v>
      </x:c>
    </x:row>
    <x:row r="30">
      <x:c r="A30" s="22" t="str">
        <x:v>A-share</x:v>
      </x:c>
      <x:c r="B30" s="22" t="str">
        <x:v>002028</x:v>
      </x:c>
      <x:c r="C30" s="22" t="str">
        <x:v>思源电气</x:v>
      </x:c>
      <x:c r="D30" s="22" t="str">
        <x:v>power</x:v>
      </x:c>
      <x:c r="E30" s="22" t="str">
        <x:v>中高压配电</x:v>
      </x:c>
      <x:c r="F30" s="22" t="str">
        <x:v>No</x:v>
      </x:c>
      <x:c r="G30" s="22" t="str">
        <x:v>Quarter has null rev/gm/nm</x:v>
      </x:c>
      <x:c r="H30" s="23" t="n">
        <x:v>8</x:v>
      </x:c>
      <x:c r="I30" s="23" t="n">
        <x:v>1700</x:v>
      </x:c>
      <x:c r="J30" s="23" t="n">
        <x:v>3</x:v>
      </x:c>
      <x:c r="K30" s="23" t="n">
        <x:v>-0.5108256237659907</x:v>
      </x:c>
      <x:c r="L30" s="23" t="str">
        <x:v>2025Q1</x:v>
      </x:c>
      <x:c r="M30" s="23"/>
      <x:c r="N30" s="23" t="str">
        <x:v>2026Q1</x:v>
      </x:c>
      <x:c r="O30" s="23" t="n">
        <x:v>45.69</x:v>
      </x:c>
      <x:c r="P30" s="23"/>
      <x:c r="Q30" s="23" t="n">
        <x:v>28.95</x:v>
      </x:c>
      <x:c r="R30" s="23" t="n">
        <x:v>12.04</x:v>
      </x:c>
      <x:c r="S30" s="23" t="n">
        <x:v>12.04</x:v>
      </x:c>
      <x:c r="T30" s="23"/>
      <x:c r="U30" s="23" t="str">
        <x:v>历史不足</x:v>
      </x:c>
      <x:c r="V30" s="23"/>
      <x:c r="W30" s="23" t="str"/>
      <x:c r="X30" s="23" t="str"/>
      <x:c r="Y30" s="23" t="str"/>
      <x:c r="Z30" s="23" t="n">
        <x:v>0.25</x:v>
      </x:c>
      <x:c r="AA30" s="23" t="n">
        <x:v>7.438383530044307</x:v>
      </x:c>
      <x:c r="AB30" s="23"/>
      <x:c r="AC30" s="23"/>
      <x:c r="AD30" s="23"/>
      <x:c r="AE30" s="23"/>
      <x:c r="AF30" s="23"/>
      <x:c r="AG30" s="23"/>
      <x:c r="AH30" s="22" t="str"/>
      <x:c r="AI30" s="24" t="str"/>
      <x:c r="AJ30" s="24" t="str">
        <x:v>https://finance.eastmoney.com/a/202604253718989616.html</x:v>
      </x:c>
      <x:c r="AK30" s="24" t="str">
        <x:v>营收+41.6% YoY; GM下滑1.36pct系储能/EPC低毛利占比提升</x:v>
      </x:c>
      <x:c r="AL30" s="24" t="str">
        <x:v>国内中高压一次设备龙头，GIS/开关柜/变压器/智能配电全布局。AI 数据中心 10kV+ 中压配电核心供应商，2026 北美数据中心订单目标 15亿+；常州东芝二期高压厂房 2025-11 投产专攻北美智算；国家电网 2025 中标金额同比 +82% 远超行业。</x:v>
      </x:c>
    </x:row>
    <x:row r="31">
      <x:c r="A31" s="22" t="str">
        <x:v>A-share</x:v>
      </x:c>
      <x:c r="B31" s="22" t="str">
        <x:v>002335</x:v>
      </x:c>
      <x:c r="C31" s="22" t="str">
        <x:v>科华数据</x:v>
      </x:c>
      <x:c r="D31" s="22" t="str">
        <x:v>power</x:v>
      </x:c>
      <x:c r="E31" s="22" t="str">
        <x:v>数据中心 UPS</x:v>
      </x:c>
      <x:c r="F31" s="22" t="str">
        <x:v>No</x:v>
      </x:c>
      <x:c r="G31" s="22" t="str">
        <x:v>Quarter has null rev/gm/nm</x:v>
      </x:c>
      <x:c r="H31" s="23" t="n">
        <x:v>7</x:v>
      </x:c>
      <x:c r="I31" s="23" t="n">
        <x:v>280</x:v>
      </x:c>
      <x:c r="J31" s="23" t="n">
        <x:v>5</x:v>
      </x:c>
      <x:c r="K31" s="23" t="n">
        <x:v>0</x:v>
      </x:c>
      <x:c r="L31" s="23" t="str">
        <x:v>2025Q1</x:v>
      </x:c>
      <x:c r="M31" s="23"/>
      <x:c r="N31" s="23" t="str">
        <x:v>2026Q1</x:v>
      </x:c>
      <x:c r="O31" s="23" t="n">
        <x:v>14.3</x:v>
      </x:c>
      <x:c r="P31" s="23"/>
      <x:c r="Q31" s="23" t="n">
        <x:v>27.85</x:v>
      </x:c>
      <x:c r="R31" s="23" t="n">
        <x:v>5.45</x:v>
      </x:c>
      <x:c r="S31" s="23" t="n">
        <x:v>5.45</x:v>
      </x:c>
      <x:c r="T31" s="23"/>
      <x:c r="U31" s="23" t="str">
        <x:v>历史不足</x:v>
      </x:c>
      <x:c r="V31" s="23"/>
      <x:c r="W31" s="23" t="str"/>
      <x:c r="X31" s="23" t="str"/>
      <x:c r="Y31" s="23" t="str"/>
      <x:c r="Z31" s="23" t="n">
        <x:v>0.25</x:v>
      </x:c>
      <x:c r="AA31" s="23" t="n">
        <x:v>5.634789603169249</x:v>
      </x:c>
      <x:c r="AB31" s="23"/>
      <x:c r="AC31" s="23"/>
      <x:c r="AD31" s="23"/>
      <x:c r="AE31" s="23"/>
      <x:c r="AF31" s="23"/>
      <x:c r="AG31" s="23"/>
      <x:c r="AH31" s="22" t="str"/>
      <x:c r="AI31" s="24" t="str"/>
      <x:c r="AJ31" s="24" t="str">
        <x:v>https://news.qq.com/rain/a/20260428A01SV800</x:v>
      </x:c>
      <x:c r="AK31" s="24" t="str">
        <x:v>营收+17.57% YoY; 归母+13.15% YoY</x:v>
      </x:c>
      <x:c r="AL31" s="24" t="str">
        <x:v>国内大功率 UPS 龙头（高端 UPS 市占 18.6% 全国第一），数据中心电源+IDC 自营运营双主业。HVDC 240V/336V 自研产品已部署互联网/金融智算中心；2025 全年归母 +32.62%；前三季度受新能源拖累但 Q4 单季大幅回升。</x:v>
      </x:c>
    </x:row>
    <x:row r="32">
      <x:c r="A32" s="22" t="str">
        <x:v>A-share</x:v>
      </x:c>
      <x:c r="B32" s="22" t="str">
        <x:v>002518</x:v>
      </x:c>
      <x:c r="C32" s="22" t="str">
        <x:v>科士达</x:v>
      </x:c>
      <x:c r="D32" s="22" t="str">
        <x:v>power</x:v>
      </x:c>
      <x:c r="E32" s="22" t="str">
        <x:v>UPS + 储能</x:v>
      </x:c>
      <x:c r="F32" s="22" t="str">
        <x:v>No</x:v>
      </x:c>
      <x:c r="G32" s="22" t="str">
        <x:v>Quarter has null rev/gm/nm</x:v>
      </x:c>
      <x:c r="H32" s="23" t="n">
        <x:v>6</x:v>
      </x:c>
      <x:c r="I32" s="23" t="n">
        <x:v>150</x:v>
      </x:c>
      <x:c r="J32" s="23" t="n">
        <x:v>6</x:v>
      </x:c>
      <x:c r="K32" s="23" t="n">
        <x:v>-0.1823215567939546</x:v>
      </x:c>
      <x:c r="L32" s="23" t="str">
        <x:v>2025Q1</x:v>
      </x:c>
      <x:c r="M32" s="23"/>
      <x:c r="N32" s="23" t="str">
        <x:v>2026Q1</x:v>
      </x:c>
      <x:c r="O32" s="23" t="n">
        <x:v>12.4</x:v>
      </x:c>
      <x:c r="P32" s="23"/>
      <x:c r="Q32" s="23" t="n">
        <x:v>29.71</x:v>
      </x:c>
      <x:c r="R32" s="23" t="n">
        <x:v>11.21</x:v>
      </x:c>
      <x:c r="S32" s="23" t="n">
        <x:v>11.21</x:v>
      </x:c>
      <x:c r="T32" s="23"/>
      <x:c r="U32" s="23" t="str">
        <x:v>历史不足</x:v>
      </x:c>
      <x:c r="V32" s="23"/>
      <x:c r="W32" s="23" t="str"/>
      <x:c r="X32" s="23" t="str"/>
      <x:c r="Y32" s="23" t="str"/>
      <x:c r="Z32" s="23" t="n">
        <x:v>0.25</x:v>
      </x:c>
      <x:c r="AA32" s="23" t="n">
        <x:v>5.0106352940962555</x:v>
      </x:c>
      <x:c r="AB32" s="23"/>
      <x:c r="AC32" s="23"/>
      <x:c r="AD32" s="23"/>
      <x:c r="AE32" s="23"/>
      <x:c r="AF32" s="23"/>
      <x:c r="AG32" s="23"/>
      <x:c r="AH32" s="22" t="str"/>
      <x:c r="AI32" s="24" t="str"/>
      <x:c r="AJ32" s="24" t="str">
        <x:v>https://news.qq.com/rain/a/20260428A01SUM00</x:v>
      </x:c>
      <x:c r="AK32" s="24" t="str">
        <x:v>营收+31.47% YoY; 归母+24.84% YoY; GM 同比+1.16pct</x:v>
      </x:c>
      <x:c r="AL32" s="24" t="str">
        <x:v>数据中心 UPS + 储能 PCS 双主业。2025 全年归母 +54.97%（业绩快报），25Q3 单季营收 +41.71% 加速增长；模块化 UPS + 锂电 BBU 切入 AI 高密机柜备电；海外储能（户储+大储）+ 国内 IDC 配套双轮，AI 用电弹性标的。</x:v>
      </x:c>
    </x:row>
    <x:row r="33">
      <x:c r="A33" s="22" t="str">
        <x:v>US</x:v>
      </x:c>
      <x:c r="B33" s="22" t="str">
        <x:v>NVDA</x:v>
      </x:c>
      <x:c r="C33" s="22" t="str">
        <x:v>Nvidia</x:v>
      </x:c>
      <x:c r="D33" s="22" t="str">
        <x:v>core_chip</x:v>
      </x:c>
      <x:c r="E33" s="22" t="str">
        <x:v>核心 AI 芯片</x:v>
      </x:c>
      <x:c r="F33" s="22" t="str">
        <x:v>Yes</x:v>
      </x:c>
      <x:c r="G33" s="22" t="str"/>
      <x:c r="H33" s="23" t="n">
        <x:v>10</x:v>
      </x:c>
      <x:c r="I33" s="23" t="n">
        <x:v>53900</x:v>
      </x:c>
      <x:c r="J33" s="23" t="n">
        <x:v>1.2</x:v>
      </x:c>
      <x:c r="K33" s="23" t="n">
        <x:v>-1.4271163556401458</x:v>
      </x:c>
      <x:c r="L33" s="23" t="str">
        <x:v>2025Q1</x:v>
      </x:c>
      <x:c r="M33" s="23" t="n">
        <x:v>393</x:v>
      </x:c>
      <x:c r="N33" s="23" t="str">
        <x:v>2026Q2</x:v>
      </x:c>
      <x:c r="O33" s="23" t="n">
        <x:v>816.2</x:v>
      </x:c>
      <x:c r="P33" s="23" t="n">
        <x:v>107.68447837150129</x:v>
      </x:c>
      <x:c r="Q33" s="23" t="n">
        <x:v>74.9</x:v>
      </x:c>
      <x:c r="R33" s="23" t="n">
        <x:v>71.5</x:v>
      </x:c>
      <x:c r="S33" s="23" t="n">
        <x:v>60</x:v>
      </x:c>
      <x:c r="T33" s="23" t="n">
        <x:v>4.940729837088099</x:v>
      </x:c>
      <x:c r="U33" s="23" t="str">
        <x:v>历史加速 10.6ppt / 前瞻 -8.2ppt</x:v>
      </x:c>
      <x:c r="V33" s="23" t="n">
        <x:v>910</x:v>
      </x:c>
      <x:c r="W33" s="23" t="str">
        <x:v>2026Q3</x:v>
      </x:c>
      <x:c r="X33" s="23" t="str">
        <x:v>F</x:v>
      </x:c>
      <x:c r="Y33" s="23" t="str">
        <x:v>NVIDIA Newsroom official FY2027 Q1 earnings release</x:v>
      </x:c>
      <x:c r="Z33" s="23" t="n">
        <x:v>0.25</x:v>
      </x:c>
      <x:c r="AA33" s="23" t="n">
        <x:v>12.157455403101094</x:v>
      </x:c>
      <x:c r="AB33" s="23" t="n">
        <x:v>28.09</x:v>
      </x:c>
      <x:c r="AC33" s="23" t="n">
        <x:v>1.069</x:v>
      </x:c>
      <x:c r="AD33" s="23" t="n">
        <x:v>0.0380562477750089</x:v>
      </x:c>
      <x:c r="AE33" s="23" t="n">
        <x:v>27.021</x:v>
      </x:c>
      <x:c r="AF33" s="23" t="n">
        <x:v>8.28</x:v>
      </x:c>
      <x:c r="AG33" s="23" t="n">
        <x:v>2.137</x:v>
      </x:c>
      <x:c r="AH33" s="22" t="str">
        <x:v>SEC Companyfacts</x:v>
      </x:c>
      <x:c r="AI33" s="24" t="str">
        <x:v>https://data.sec.gov/api/xbrl/companyfacts/CIK0001045810.json</x:v>
      </x:c>
      <x:c r="AJ33" s="24" t="str">
        <x:v>https://nvidianews.nvidia.com/news/nvidia-announces-financial-results-for-first-quarter-fiscal-2027</x:v>
      </x:c>
      <x:c r="AK33" s="24" t="str">
        <x:v>FY2027 Q1 ended Apr 26 2026: revenue $81.615B, GAAP gross margin 74.9%, GAAP net income $58.321B</x:v>
      </x:c>
      <x:c r="AL33" s="24" t="str">
        <x:v>全球 AI GPU 绝对龙头, Hopper/Blackwell/Rubin 系列垄断数据中心训练市场. CUDA 软件生态壁垒最深.</x:v>
      </x:c>
    </x:row>
    <x:row r="34">
      <x:c r="A34" s="22" t="str">
        <x:v>US</x:v>
      </x:c>
      <x:c r="B34" s="22" t="str">
        <x:v>AVGO</x:v>
      </x:c>
      <x:c r="C34" s="22" t="str">
        <x:v>Broadcom</x:v>
      </x:c>
      <x:c r="D34" s="22" t="str">
        <x:v>core_chip</x:v>
      </x:c>
      <x:c r="E34" s="22" t="str">
        <x:v>AI 定制芯片</x:v>
      </x:c>
      <x:c r="F34" s="22" t="str">
        <x:v>Yes</x:v>
      </x:c>
      <x:c r="G34" s="22" t="str"/>
      <x:c r="H34" s="23" t="n">
        <x:v>9</x:v>
      </x:c>
      <x:c r="I34" s="23" t="n">
        <x:v>20320</x:v>
      </x:c>
      <x:c r="J34" s="23" t="n">
        <x:v>1.5</x:v>
      </x:c>
      <x:c r="K34" s="23" t="n">
        <x:v>-1.2039728043259361</x:v>
      </x:c>
      <x:c r="L34" s="23" t="str">
        <x:v>2025Q1</x:v>
      </x:c>
      <x:c r="M34" s="23" t="n">
        <x:v>149.2</x:v>
      </x:c>
      <x:c r="N34" s="23" t="str">
        <x:v>2026Q2</x:v>
      </x:c>
      <x:c r="O34" s="23" t="n">
        <x:v>222</x:v>
      </x:c>
      <x:c r="P34" s="23" t="n">
        <x:v>48.79356568364612</x:v>
      </x:c>
      <x:c r="Q34" s="23" t="n">
        <x:v>77.1</x:v>
      </x:c>
      <x:c r="R34" s="23" t="n">
        <x:v>42</x:v>
      </x:c>
      <x:c r="S34" s="23" t="n">
        <x:v>42</x:v>
      </x:c>
      <x:c r="T34" s="23" t="n">
        <x:v>2.020676018259576</x:v>
      </x:c>
      <x:c r="U34" s="23" t="str">
        <x:v>历史加速 7.6ppt / 前瞻 -11.1ppt</x:v>
      </x:c>
      <x:c r="V34" s="23" t="n">
        <x:v>222</x:v>
      </x:c>
      <x:c r="W34" s="23" t="str">
        <x:v>2026Q2</x:v>
      </x:c>
      <x:c r="X34" s="23" t="str">
        <x:v>实际公布</x:v>
      </x:c>
      <x:c r="Y34" s="23" t="str">
        <x:v>公司 Q2 FY2026 实际公布 2026-06-05 (ending May 3 2026)</x:v>
      </x:c>
      <x:c r="Z34" s="23" t="n">
        <x:v>0.25</x:v>
      </x:c>
      <x:c r="AA34" s="23" t="n">
        <x:v>12.257792955734361</x:v>
      </x:c>
      <x:c r="AB34" s="23" t="n">
        <x:v>18.085</x:v>
      </x:c>
      <x:c r="AC34" s="23" t="n">
        <x:v>0.452</x:v>
      </x:c>
      <x:c r="AD34" s="23" t="n">
        <x:v>0.02499308819463644</x:v>
      </x:c>
      <x:c r="AE34" s="23" t="n">
        <x:v>17.633</x:v>
      </x:c>
      <x:c r="AF34" s="23" t="n">
        <x:v>22.83</x:v>
      </x:c>
      <x:c r="AG34" s="23" t="n">
        <x:v>-48.958</x:v>
      </x:c>
      <x:c r="AH34" s="22" t="str">
        <x:v>SEC Companyfacts</x:v>
      </x:c>
      <x:c r="AI34" s="24" t="str">
        <x:v>https://data.sec.gov/api/xbrl/companyfacts/CIK0001730168.json</x:v>
      </x:c>
      <x:c r="AJ34" s="24" t="str">
        <x:v>https://investors.broadcom.com/news-releases/news-release-details/broadcom-inc-announces-second-quarter-fiscal-year-2026-financial</x:v>
      </x:c>
      <x:c r="AK34" s="24" t="str">
        <x:v>FY26 Q2 (Feb-May 2026, ending May 3): 营收$222亿同比+48%, AI半导体$108亿+143%; GAAP GM 77.1%, GAAP NM 42.0%; Non-GAAP EPS $2.44</x:v>
      </x:c>
      <x:c r="AL34" s="24" t="str">
        <x:v>Google TPU / Meta MTIA 等超大客户 ASIC 主供. AI 网络芯片(Tomahawk/Jericho) 数据中心交换核心.</x:v>
      </x:c>
    </x:row>
    <x:row r="35">
      <x:c r="A35" s="22" t="str">
        <x:v>US</x:v>
      </x:c>
      <x:c r="B35" s="22" t="str">
        <x:v>AMD</x:v>
      </x:c>
      <x:c r="C35" s="22" t="str">
        <x:v>AMD</x:v>
      </x:c>
      <x:c r="D35" s="22" t="str">
        <x:v>core_chip</x:v>
      </x:c>
      <x:c r="E35" s="22" t="str">
        <x:v>GPU/CPU</x:v>
      </x:c>
      <x:c r="F35" s="22" t="str">
        <x:v>Yes</x:v>
      </x:c>
      <x:c r="G35" s="22" t="str"/>
      <x:c r="H35" s="23" t="n">
        <x:v>8</x:v>
      </x:c>
      <x:c r="I35" s="23" t="n">
        <x:v>7577</x:v>
      </x:c>
      <x:c r="J35" s="23" t="n">
        <x:v>4</x:v>
      </x:c>
      <x:c r="K35" s="23" t="n">
        <x:v>-0.2231435513142097</x:v>
      </x:c>
      <x:c r="L35" s="23" t="str">
        <x:v>2025Q1</x:v>
      </x:c>
      <x:c r="M35" s="23" t="n">
        <x:v>74.4</x:v>
      </x:c>
      <x:c r="N35" s="23" t="str">
        <x:v>2026Q1</x:v>
      </x:c>
      <x:c r="O35" s="23" t="n">
        <x:v>102.5</x:v>
      </x:c>
      <x:c r="P35" s="23" t="n">
        <x:v>37.76881720430107</x:v>
      </x:c>
      <x:c r="Q35" s="23" t="n">
        <x:v>53</x:v>
      </x:c>
      <x:c r="R35" s="23" t="n">
        <x:v>13.49</x:v>
      </x:c>
      <x:c r="S35" s="23" t="n">
        <x:v>13.49</x:v>
      </x:c>
      <x:c r="T35" s="23" t="n">
        <x:v>-3.3370353578265037</x:v>
      </x:c>
      <x:c r="U35" s="23" t="str">
        <x:v>历史加速 -6.4ppt / 前瞻 3.9ppt</x:v>
      </x:c>
      <x:c r="V35" s="23" t="n">
        <x:v>112</x:v>
      </x:c>
      <x:c r="W35" s="23" t="str">
        <x:v>2026Q2</x:v>
      </x:c>
      <x:c r="X35" s="23" t="str">
        <x:v>F</x:v>
      </x:c>
      <x:c r="Y35" s="23" t="str">
        <x:v>AMD official Q1 2026 earnings release</x:v>
      </x:c>
      <x:c r="Z35" s="23" t="n">
        <x:v>0.35</x:v>
      </x:c>
      <x:c r="AA35" s="23" t="n">
        <x:v>9.290737255060582</x:v>
      </x:c>
      <x:c r="AB35" s="23" t="n">
        <x:v>1.667</x:v>
      </x:c>
      <x:c r="AC35" s="23" t="n">
        <x:v>0.546</x:v>
      </x:c>
      <x:c r="AD35" s="23" t="n">
        <x:v>0.3275344931013797</x:v>
      </x:c>
      <x:c r="AE35" s="23" t="n">
        <x:v>1.121</x:v>
      </x:c>
      <x:c r="AF35" s="23" t="n">
        <x:v>2.73</x:v>
      </x:c>
      <x:c r="AG35" s="23" t="n">
        <x:v>5.209</x:v>
      </x:c>
      <x:c r="AH35" s="22" t="str">
        <x:v>SEC Companyfacts</x:v>
      </x:c>
      <x:c r="AI35" s="24" t="str">
        <x:v>https://data.sec.gov/api/xbrl/companyfacts/CIK0000002488.json</x:v>
      </x:c>
      <x:c r="AJ35" s="24" t="str">
        <x:v>https://ir.amd.com/news-events/press-releases/detail/1284/amd-reports-first-quarter-2026-financial-results</x:v>
      </x:c>
      <x:c r="AK35" s="24" t="str">
        <x:v>Q1 2026 ended Mar 28 2026: revenue $10.253B, GAAP gross margin 53%, GAAP net income $1.383B</x:v>
      </x:c>
      <x:c r="AL35" s="24" t="str">
        <x:v>AI GPU 第二选择 (MI300/MI350), x86 CPU 抢英特尔份额. AI 业务高速增长但绝对体量距英伟达甚远.</x:v>
      </x:c>
    </x:row>
    <x:row r="36">
      <x:c r="A36" s="22" t="str">
        <x:v>US</x:v>
      </x:c>
      <x:c r="B36" s="22" t="str">
        <x:v>INTC</x:v>
      </x:c>
      <x:c r="C36" s="22" t="str">
        <x:v>Intel</x:v>
      </x:c>
      <x:c r="D36" s="22" t="str">
        <x:v>core_chip</x:v>
      </x:c>
      <x:c r="E36" s="22" t="str">
        <x:v>CPU/Foundry</x:v>
      </x:c>
      <x:c r="F36" s="22" t="str">
        <x:v>Yes</x:v>
      </x:c>
      <x:c r="G36" s="22" t="str"/>
      <x:c r="H36" s="23" t="n">
        <x:v>9</x:v>
      </x:c>
      <x:c r="I36" s="23" t="n">
        <x:v>6387</x:v>
      </x:c>
      <x:c r="J36" s="23" t="n">
        <x:v>3.5</x:v>
      </x:c>
      <x:c r="K36" s="23" t="n">
        <x:v>-0.35667494393873245</x:v>
      </x:c>
      <x:c r="L36" s="23" t="str">
        <x:v>2025Q1</x:v>
      </x:c>
      <x:c r="M36" s="23" t="n">
        <x:v>126.7</x:v>
      </x:c>
      <x:c r="N36" s="23" t="str">
        <x:v>2026Q1</x:v>
      </x:c>
      <x:c r="O36" s="23" t="n">
        <x:v>136</x:v>
      </x:c>
      <x:c r="P36" s="23" t="n">
        <x:v>7.340173638516179</x:v>
      </x:c>
      <x:c r="Q36" s="23" t="n">
        <x:v>39.4</x:v>
      </x:c>
      <x:c r="R36" s="23" t="n">
        <x:v>-27.21</x:v>
      </x:c>
      <x:c r="S36" s="23" t="n">
        <x:v>-27.21</x:v>
      </x:c>
      <x:c r="T36" s="23" t="n">
        <x:v>-1.4077695060820437</x:v>
      </x:c>
      <x:c r="U36" s="23" t="str">
        <x:v>历史加速 -4.4ppt / 前瞻 5.5ppt</x:v>
      </x:c>
      <x:c r="V36" s="23" t="n">
        <x:v>143</x:v>
      </x:c>
      <x:c r="W36" s="23" t="str">
        <x:v>2026Q2</x:v>
      </x:c>
      <x:c r="X36" s="23" t="str">
        <x:v>F</x:v>
      </x:c>
      <x:c r="Y36" s="23" t="str">
        <x:v>Intel official Q1 2026 earnings release</x:v>
      </x:c>
      <x:c r="Z36" s="23" t="n">
        <x:v>0.35</x:v>
      </x:c>
      <x:c r="AA36" s="23" t="n">
        <x:v>6.728439869014854</x:v>
      </x:c>
      <x:c r="AB36" s="23" t="n">
        <x:v>11.471</x:v>
      </x:c>
      <x:c r="AC36" s="23" t="n">
        <x:v>25.75</x:v>
      </x:c>
      <x:c r="AD36" s="23" t="n">
        <x:v>2.2447912126231366</x:v>
      </x:c>
      <x:c r="AE36" s="23" t="n">
        <x:v>-14.279</x:v>
      </x:c>
      <x:c r="AF36" s="23" t="n">
        <x:v>-26.25</x:v>
      </x:c>
      <x:c r="AG36" s="23" t="n">
        <x:v>-35.746</x:v>
      </x:c>
      <x:c r="AH36" s="22" t="str">
        <x:v>SEC Companyfacts</x:v>
      </x:c>
      <x:c r="AI36" s="24" t="str">
        <x:v>https://data.sec.gov/api/xbrl/companyfacts/CIK0000050863.json</x:v>
      </x:c>
      <x:c r="AJ36" s="24" t="str">
        <x:v>https://www.intc.com/news-events/press-releases/detail/1767/intel-reports-first-quarter-2026-financial-results</x:v>
      </x:c>
      <x:c r="AK36" s="24" t="str">
        <x:v>Q1 2026 ended Mar 28 2026: revenue $13.6B, GAAP gross margin 39.4%, GAAP net loss $3.7B; loss includes restructuring and other adjustments</x:v>
      </x:c>
      <x:c r="AL36" s="24" t="str">
        <x:v>美国政府持 9.9% 股权 (CHIPS Act 拨款转股权), Intel 18A (1.8nm) Fab 52 亚利桑那量产 — 美国先进制程国家战略资产。CPU 老牌 + Foundry 国家级。</x:v>
      </x:c>
    </x:row>
    <x:row r="37">
      <x:c r="A37" s="22" t="str">
        <x:v>US</x:v>
      </x:c>
      <x:c r="B37" s="22" t="str">
        <x:v>QCOM</x:v>
      </x:c>
      <x:c r="C37" s="22" t="str">
        <x:v>Qualcomm</x:v>
      </x:c>
      <x:c r="D37" s="22" t="str">
        <x:v>core_chip</x:v>
      </x:c>
      <x:c r="E37" s="22" t="str">
        <x:v>移动 SoC</x:v>
      </x:c>
      <x:c r="F37" s="22" t="str">
        <x:v>Yes</x:v>
      </x:c>
      <x:c r="G37" s="22" t="str"/>
      <x:c r="H37" s="23" t="n">
        <x:v>6</x:v>
      </x:c>
      <x:c r="I37" s="23" t="n">
        <x:v>2483</x:v>
      </x:c>
      <x:c r="J37" s="23" t="n">
        <x:v>1.8</x:v>
      </x:c>
      <x:c r="K37" s="23" t="n">
        <x:v>-1.0216512475319814</x:v>
      </x:c>
      <x:c r="L37" s="23" t="str">
        <x:v>2025Q1</x:v>
      </x:c>
      <x:c r="M37" s="23" t="n">
        <x:v>109.8</x:v>
      </x:c>
      <x:c r="N37" s="23" t="str">
        <x:v>2026Q1</x:v>
      </x:c>
      <x:c r="O37" s="23" t="n">
        <x:v>106</x:v>
      </x:c>
      <x:c r="P37" s="23" t="n">
        <x:v>-3.4608378870673917</x:v>
      </x:c>
      <x:c r="Q37" s="23" t="n">
        <x:v>53.77</x:v>
      </x:c>
      <x:c r="R37" s="23" t="n">
        <x:v>69.53</x:v>
      </x:c>
      <x:c r="S37" s="23" t="n">
        <x:v>60</x:v>
      </x:c>
      <x:c r="T37" s="23" t="n">
        <x:v>-1.74104483009608</x:v>
      </x:c>
      <x:c r="U37" s="23" t="str">
        <x:v>历史加速 1.8ppt / 前瞻 -10.0ppt</x:v>
      </x:c>
      <x:c r="V37" s="23" t="n">
        <x:v>96</x:v>
      </x:c>
      <x:c r="W37" s="23" t="str">
        <x:v>2026Q2</x:v>
      </x:c>
      <x:c r="X37" s="23" t="str">
        <x:v>F</x:v>
      </x:c>
      <x:c r="Y37" s="23" t="str">
        <x:v>Qualcomm FY2026 Q2 earnings release</x:v>
      </x:c>
      <x:c r="Z37" s="23" t="n">
        <x:v>0.25</x:v>
      </x:c>
      <x:c r="AA37" s="23" t="n">
        <x:v>10.082304842022072</x:v>
      </x:c>
      <x:c r="AB37" s="23" t="n">
        <x:v>11.299</x:v>
      </x:c>
      <x:c r="AC37" s="23" t="n">
        <x:v>1.45</x:v>
      </x:c>
      <x:c r="AD37" s="23" t="n">
        <x:v>0.12832994070271705</x:v>
      </x:c>
      <x:c r="AE37" s="23" t="n">
        <x:v>9.849</x:v>
      </x:c>
      <x:c r="AF37" s="23" t="n">
        <x:v>23.23</x:v>
      </x:c>
      <x:c r="AG37" s="23" t="n">
        <x:v>-9.291</x:v>
      </x:c>
      <x:c r="AH37" s="22" t="str">
        <x:v>SEC Companyfacts</x:v>
      </x:c>
      <x:c r="AI37" s="24" t="str">
        <x:v>https://data.sec.gov/api/xbrl/companyfacts/CIK0000804328.json</x:v>
      </x:c>
      <x:c r="AJ37" s="24" t="str">
        <x:v>https://www.sec.gov/Archives/edgar/data/804328/000080432826000061/0000804328-26-000061-index.html</x:v>
      </x:c>
      <x:c r="AK37" s="24" t="str">
        <x:v>SEC Companyfacts CY2026Q1: revenue $10.599B, gross profit $5.699B (revenue minus CostOfRevenue $4.900B), net income $7.370B</x:v>
      </x:c>
      <x:c r="AL37" s="24" t="str">
        <x:v>手机 SoC + 调制解调器龙头, 进军 PC AI 芯片 (Snapdragon X). 边缘 AI 重要参与者.</x:v>
      </x:c>
    </x:row>
    <x:row r="38">
      <x:c r="A38" s="22" t="str">
        <x:v>US</x:v>
      </x:c>
      <x:c r="B38" s="22" t="str">
        <x:v>MRVL</x:v>
      </x:c>
      <x:c r="C38" s="22" t="str">
        <x:v>Marvell</x:v>
      </x:c>
      <x:c r="D38" s="22" t="str">
        <x:v>core_chip</x:v>
      </x:c>
      <x:c r="E38" s="22" t="str">
        <x:v>数据中心芯片</x:v>
      </x:c>
      <x:c r="F38" s="22" t="str">
        <x:v>Yes</x:v>
      </x:c>
      <x:c r="G38" s="22" t="str"/>
      <x:c r="H38" s="23" t="n">
        <x:v>7</x:v>
      </x:c>
      <x:c r="I38" s="23" t="n">
        <x:v>1472</x:v>
      </x:c>
      <x:c r="J38" s="23" t="n">
        <x:v>3.8</x:v>
      </x:c>
      <x:c r="K38" s="23" t="n">
        <x:v>-0.2744368457017603</x:v>
      </x:c>
      <x:c r="L38" s="23" t="str">
        <x:v>2025Q1</x:v>
      </x:c>
      <x:c r="M38" s="23" t="n">
        <x:v>19</x:v>
      </x:c>
      <x:c r="N38" s="23" t="str">
        <x:v>2026Q1</x:v>
      </x:c>
      <x:c r="O38" s="23" t="n">
        <x:v>24.2</x:v>
      </x:c>
      <x:c r="P38" s="23" t="n">
        <x:v>27.368421052631575</x:v>
      </x:c>
      <x:c r="Q38" s="23" t="n">
        <x:v>52.15</x:v>
      </x:c>
      <x:c r="R38" s="23" t="n">
        <x:v>1.43</x:v>
      </x:c>
      <x:c r="S38" s="23" t="n">
        <x:v>1.43</x:v>
      </x:c>
      <x:c r="T38" s="23" t="n">
        <x:v>305.0212944048535</x:v>
      </x:c>
      <x:c r="U38" s="23" t="str">
        <x:v>历史加速 4.1ppt / 前瞻 1007.2ppt</x:v>
      </x:c>
      <x:c r="V38" s="23" t="n">
        <x:v>270</x:v>
      </x:c>
      <x:c r="W38" s="23" t="str">
        <x:v>2026Q2</x:v>
      </x:c>
      <x:c r="X38" s="23" t="str">
        <x:v>F</x:v>
      </x:c>
      <x:c r="Y38" s="23" t="str">
        <x:v>Marvell Q1 FY2027 earnings materials</x:v>
      </x:c>
      <x:c r="Z38" s="23" t="n">
        <x:v>0.35</x:v>
      </x:c>
      <x:c r="AA38" s="23" t="n">
        <x:v>8.269110681557219</x:v>
      </x:c>
      <x:c r="AB38" s="23" t="n">
        <x:v>1.371</x:v>
      </x:c>
      <x:c r="AC38" s="23" t="n">
        <x:v>0.336</x:v>
      </x:c>
      <x:c r="AD38" s="23" t="n">
        <x:v>0.2450765864332604</x:v>
      </x:c>
      <x:c r="AE38" s="23" t="n">
        <x:v>1.034</x:v>
      </x:c>
      <x:c r="AF38" s="23" t="n">
        <x:v>10.68</x:v>
      </x:c>
      <x:c r="AG38" s="23" t="n">
        <x:v>-1.832</x:v>
      </x:c>
      <x:c r="AH38" s="22" t="str">
        <x:v>SEC Companyfacts</x:v>
      </x:c>
      <x:c r="AI38" s="24" t="str">
        <x:v>https://data.sec.gov/api/xbrl/companyfacts/CIK0001835632.json</x:v>
      </x:c>
      <x:c r="AJ38" s="24" t="str">
        <x:v>https://www.sec.gov/Archives/edgar/data/1835632/000183563226000019/0001835632-26-000019-index.html</x:v>
      </x:c>
      <x:c r="AK38" s="24" t="str">
        <x:v>SEC Companyfacts CY2026Q1: revenue $2.418B, gross profit $1.261B, net income $0.035B</x:v>
      </x:c>
      <x:c r="AL38" s="24" t="str">
        <x:v>AI 定制 ASIC + 高速光电芯片 + 网络存储. AWS Trainium 合作伙伴, AI 业务高增速.</x:v>
      </x:c>
    </x:row>
    <x:row r="39">
      <x:c r="A39" s="22" t="str">
        <x:v>US</x:v>
      </x:c>
      <x:c r="B39" s="22" t="str">
        <x:v>APP</x:v>
      </x:c>
      <x:c r="C39" s="22" t="str">
        <x:v>AppLovin</x:v>
      </x:c>
      <x:c r="D39" s="22" t="str">
        <x:v>app</x:v>
      </x:c>
      <x:c r="E39" s="22" t="str">
        <x:v>AI 软件应用</x:v>
      </x:c>
      <x:c r="F39" s="22" t="str">
        <x:v>Yes</x:v>
      </x:c>
      <x:c r="G39" s="22" t="str"/>
      <x:c r="H39" s="23" t="n">
        <x:v>6</x:v>
      </x:c>
      <x:c r="I39" s="23" t="n">
        <x:v>1530</x:v>
      </x:c>
      <x:c r="J39" s="23" t="n">
        <x:v>4.5</x:v>
      </x:c>
      <x:c r="K39" s="23" t="n">
        <x:v>-0.10536051565782628</x:v>
      </x:c>
      <x:c r="L39" s="23" t="str">
        <x:v>2025Q1</x:v>
      </x:c>
      <x:c r="M39" s="23" t="n">
        <x:v>11.6</x:v>
      </x:c>
      <x:c r="N39" s="23" t="str">
        <x:v>2026Q1</x:v>
      </x:c>
      <x:c r="O39" s="23" t="n">
        <x:v>18.4</x:v>
      </x:c>
      <x:c r="P39" s="23" t="n">
        <x:v>58.6206896551724</x:v>
      </x:c>
      <x:c r="Q39" s="23" t="n">
        <x:v>88.95</x:v>
      </x:c>
      <x:c r="R39" s="23" t="n">
        <x:v>65.44</x:v>
      </x:c>
      <x:c r="S39" s="23" t="n">
        <x:v>60</x:v>
      </x:c>
      <x:c r="T39" s="23" t="n">
        <x:v>-0.0017427520538628727</x:v>
      </x:c>
      <x:c r="U39" s="23" t="str">
        <x:v>历史加速 4.0ppt / 前瞻 -9.4ppt</x:v>
      </x:c>
      <x:c r="V39" s="23" t="n">
        <x:v>19.3</x:v>
      </x:c>
      <x:c r="W39" s="23" t="str">
        <x:v>2026Q2</x:v>
      </x:c>
      <x:c r="X39" s="23" t="str">
        <x:v>F</x:v>
      </x:c>
      <x:c r="Y39" s="23" t="str">
        <x:v>AppLovin official Q1 2026 results</x:v>
      </x:c>
      <x:c r="Z39" s="23" t="n">
        <x:v>0.2</x:v>
      </x:c>
      <x:c r="AA39" s="23" t="n">
        <x:v>8.611989605592724</x:v>
      </x:c>
      <x:c r="AB39" s="23" t="n">
        <x:v>1.062</x:v>
      </x:c>
      <x:c r="AC39" s="23" t="n">
        <x:v>0.001</x:v>
      </x:c>
      <x:c r="AD39" s="23" t="n">
        <x:v>0.0009416195856873823</x:v>
      </x:c>
      <x:c r="AE39" s="23" t="n">
        <x:v>1.061</x:v>
      </x:c>
      <x:c r="AF39" s="23" t="n">
        <x:v>14.41</x:v>
      </x:c>
      <x:c r="AG39" s="23" t="n">
        <x:v>-1.022</x:v>
      </x:c>
      <x:c r="AH39" s="22" t="str">
        <x:v>SEC Companyfacts</x:v>
      </x:c>
      <x:c r="AI39" s="24" t="str">
        <x:v>https://data.sec.gov/api/xbrl/companyfacts/CIK0001751008.json</x:v>
      </x:c>
      <x:c r="AJ39" s="24" t="str">
        <x:v>https://www.sec.gov/Archives/edgar/data/1751008/000175100826000044/0001751008-26-000044-index.html</x:v>
      </x:c>
      <x:c r="AK39" s="24" t="str">
        <x:v>SEC Companyfacts CY2026Q1: revenue $1.842B, gross profit $1.639B (revenue minus CostOfRevenue $0.204B), net income $1.206B</x:v>
      </x:c>
      <x:c r="AL39" s="24" t="str">
        <x:v>移动广告 AI 优化平台 AXON, 用机器学习算法预测用户行为最大化广告变现. 非半导体, AI 软件下游应用受益.</x:v>
      </x:c>
    </x:row>
    <x:row r="40">
      <x:c r="A40" s="22" t="str">
        <x:v>US</x:v>
      </x:c>
      <x:c r="B40" s="22" t="str">
        <x:v>TSM</x:v>
      </x:c>
      <x:c r="C40" s="22" t="str">
        <x:v>TSMC</x:v>
      </x:c>
      <x:c r="D40" s="22" t="str">
        <x:v>foundry</x:v>
      </x:c>
      <x:c r="E40" s="22" t="str">
        <x:v>晶圆代工</x:v>
      </x:c>
      <x:c r="F40" s="22" t="str">
        <x:v>Yes</x:v>
      </x:c>
      <x:c r="G40" s="22" t="str"/>
      <x:c r="H40" s="23" t="n">
        <x:v>10</x:v>
      </x:c>
      <x:c r="I40" s="23" t="n">
        <x:v>21040</x:v>
      </x:c>
      <x:c r="J40" s="23" t="n">
        <x:v>1</x:v>
      </x:c>
      <x:c r="K40" s="23" t="n">
        <x:v>-1.6094379124341003</x:v>
      </x:c>
      <x:c r="L40" s="23" t="str">
        <x:v>2025Q1</x:v>
      </x:c>
      <x:c r="M40" s="23" t="n">
        <x:v>255.3</x:v>
      </x:c>
      <x:c r="N40" s="23" t="str">
        <x:v>2026Q1</x:v>
      </x:c>
      <x:c r="O40" s="23" t="n">
        <x:v>359</x:v>
      </x:c>
      <x:c r="P40" s="23" t="n">
        <x:v>40.61887974931453</x:v>
      </x:c>
      <x:c r="Q40" s="23" t="n">
        <x:v>66.2</x:v>
      </x:c>
      <x:c r="R40" s="23" t="n">
        <x:v>50.5</x:v>
      </x:c>
      <x:c r="S40" s="23" t="n">
        <x:v>50.5</x:v>
      </x:c>
      <x:c r="T40" s="23" t="n">
        <x:v>-4.991545938983876</x:v>
      </x:c>
      <x:c r="U40" s="23" t="str">
        <x:v>历史加速 -9.8ppt / 前瞻 6.1ppt</x:v>
      </x:c>
      <x:c r="V40" s="23" t="n">
        <x:v>396</x:v>
      </x:c>
      <x:c r="W40" s="23" t="str">
        <x:v>2026Q2</x:v>
      </x:c>
      <x:c r="X40" s="23" t="str">
        <x:v>F</x:v>
      </x:c>
      <x:c r="Y40" s="23" t="str">
        <x:v>TSMC official Q1 2026 quarterly results/guidance</x:v>
      </x:c>
      <x:c r="Z40" s="23" t="n">
        <x:v>0.45</x:v>
      </x:c>
      <x:c r="AA40" s="23" t="n">
        <x:v>11.401801961843775</x:v>
      </x:c>
      <x:c r="AB40" s="23" t="n">
        <x:v>50.943</x:v>
      </x:c>
      <x:c r="AC40" s="23" t="n">
        <x:v>34.244</x:v>
      </x:c>
      <x:c r="AD40" s="23" t="n">
        <x:v>0.6722022652768781</x:v>
      </x:c>
      <x:c r="AE40" s="23" t="n">
        <x:v>16.698</x:v>
      </x:c>
      <x:c r="AF40" s="23" t="n">
        <x:v>11.63</x:v>
      </x:c>
      <x:c r="AG40" s="23"/>
      <x:c r="AH40" s="22" t="str">
        <x:v>SEC Companyfacts</x:v>
      </x:c>
      <x:c r="AI40" s="24" t="str">
        <x:v>https://data.sec.gov/api/xbrl/companyfacts/CIK0001046179.json</x:v>
      </x:c>
      <x:c r="AJ40" s="24" t="str">
        <x:v>https://investor.tsmc.com/english/quarterly-results/2026/q1</x:v>
      </x:c>
      <x:c r="AK40" s="24" t="str">
        <x:v>Q1 2026 actual: revenue NT$1,134.10B / avg USD/TWD 31.59 = about US$35.90B, gross margin 66.2%, net profit margin 50.5%; TSMC official quarterly results</x:v>
      </x:c>
      <x:c r="AL40" s="24" t="str">
        <x:v>全球先进制程绝对垄断 (3nm/2nm), 所有 AI 芯片 (NVDA/AMD/AVGO/AAPL) 都靠它代工. ADR 在美上市.</x:v>
      </x:c>
    </x:row>
    <x:row r="41">
      <x:c r="A41" s="22" t="str">
        <x:v>US</x:v>
      </x:c>
      <x:c r="B41" s="22" t="str">
        <x:v>ASML</x:v>
      </x:c>
      <x:c r="C41" s="22" t="str">
        <x:v>ASML</x:v>
      </x:c>
      <x:c r="D41" s="22" t="str">
        <x:v>foundry</x:v>
      </x:c>
      <x:c r="E41" s="22" t="str">
        <x:v>光刻机</x:v>
      </x:c>
      <x:c r="F41" s="22" t="str">
        <x:v>Yes</x:v>
      </x:c>
      <x:c r="G41" s="22" t="str"/>
      <x:c r="H41" s="23" t="n">
        <x:v>10</x:v>
      </x:c>
      <x:c r="I41" s="23" t="n">
        <x:v>5972</x:v>
      </x:c>
      <x:c r="J41" s="23" t="n">
        <x:v>1.2</x:v>
      </x:c>
      <x:c r="K41" s="23" t="n">
        <x:v>-1.4271163556401458</x:v>
      </x:c>
      <x:c r="L41" s="23" t="str">
        <x:v>2025Q1</x:v>
      </x:c>
      <x:c r="M41" s="23" t="n">
        <x:v>81.4</x:v>
      </x:c>
      <x:c r="N41" s="23" t="str">
        <x:v>2026Q1</x:v>
      </x:c>
      <x:c r="O41" s="23" t="n">
        <x:v>96.7</x:v>
      </x:c>
      <x:c r="P41" s="23" t="n">
        <x:v>18.796068796068788</x:v>
      </x:c>
      <x:c r="Q41" s="23" t="n">
        <x:v>53</x:v>
      </x:c>
      <x:c r="R41" s="23" t="n">
        <x:v>31.82</x:v>
      </x:c>
      <x:c r="S41" s="23" t="n">
        <x:v>31.82</x:v>
      </x:c>
      <x:c r="T41" s="23" t="n">
        <x:v>-2.74921253091785</x:v>
      </x:c>
      <x:c r="U41" s="23" t="str">
        <x:v>历史加速 3.3ppt / 前瞻 -16.8ppt</x:v>
      </x:c>
      <x:c r="V41" s="23" t="n">
        <x:v>87.4</x:v>
      </x:c>
      <x:c r="W41" s="23" t="str">
        <x:v>2026Q2</x:v>
      </x:c>
      <x:c r="X41" s="23" t="str">
        <x:v>F</x:v>
      </x:c>
      <x:c r="Y41" s="23" t="str">
        <x:v>ASML official Q1 2026 results/outlook</x:v>
      </x:c>
      <x:c r="Z41" s="23" t="n">
        <x:v>0.4</x:v>
      </x:c>
      <x:c r="AA41" s="23" t="n">
        <x:v>9.774966759100153</x:v>
      </x:c>
      <x:c r="AB41" s="23" t="n">
        <x:v>6.295</x:v>
      </x:c>
      <x:c r="AC41" s="23" t="n">
        <x:v>2.493</x:v>
      </x:c>
      <x:c r="AD41" s="23" t="n">
        <x:v>0.3960285941223193</x:v>
      </x:c>
      <x:c r="AE41" s="23" t="n">
        <x:v>3.802</x:v>
      </x:c>
      <x:c r="AF41" s="23" t="n">
        <x:v>9.83</x:v>
      </x:c>
      <x:c r="AG41" s="23" t="n">
        <x:v>11.251</x:v>
      </x:c>
      <x:c r="AH41" s="22" t="str">
        <x:v>SEC Companyfacts</x:v>
      </x:c>
      <x:c r="AI41" s="24" t="str">
        <x:v>https://data.sec.gov/api/xbrl/companyfacts/CIK0000937966.json</x:v>
      </x:c>
      <x:c r="AJ41" s="24" t="str">
        <x:v>https://www.asml.com/en/investors/financial-results/q1-2026</x:v>
      </x:c>
      <x:c r="AK41" s="24" t="str">
        <x:v>Q1 2026 actual: net sales EUR8.800B, gross profit EUR4.664B, net income EUR2.800B; converted to USD at EUR/USD avg 1.099</x:v>
      </x:c>
      <x:c r="AL41" s="24" t="str">
        <x:v>EUV 光刻机全球独家供应商, 7nm 以下制程必备. AI 芯片军备竞赛上游卡脖子环节.</x:v>
      </x:c>
    </x:row>
    <x:row r="42">
      <x:c r="A42" s="22" t="str">
        <x:v>US</x:v>
      </x:c>
      <x:c r="B42" s="22" t="str">
        <x:v>AMAT</x:v>
      </x:c>
      <x:c r="C42" s="22" t="str">
        <x:v>Applied Materials</x:v>
      </x:c>
      <x:c r="D42" s="22" t="str">
        <x:v>foundry</x:v>
      </x:c>
      <x:c r="E42" s="22" t="str">
        <x:v>半导体设备</x:v>
      </x:c>
      <x:c r="F42" s="22" t="str">
        <x:v>Yes</x:v>
      </x:c>
      <x:c r="G42" s="22" t="str"/>
      <x:c r="H42" s="23" t="n">
        <x:v>8</x:v>
      </x:c>
      <x:c r="I42" s="23" t="n">
        <x:v>3550</x:v>
      </x:c>
      <x:c r="J42" s="23" t="n">
        <x:v>2.5</x:v>
      </x:c>
      <x:c r="K42" s="23" t="n">
        <x:v>-0.6931471805599453</x:v>
      </x:c>
      <x:c r="L42" s="23" t="str">
        <x:v>2025Q1</x:v>
      </x:c>
      <x:c r="M42" s="23" t="n">
        <x:v>71</x:v>
      </x:c>
      <x:c r="N42" s="23" t="str">
        <x:v>2026Q1</x:v>
      </x:c>
      <x:c r="O42" s="23" t="n">
        <x:v>79.1</x:v>
      </x:c>
      <x:c r="P42" s="23" t="n">
        <x:v>11.408450704225338</x:v>
      </x:c>
      <x:c r="Q42" s="23" t="n">
        <x:v>49.9</x:v>
      </x:c>
      <x:c r="R42" s="23" t="n">
        <x:v>35.47</x:v>
      </x:c>
      <x:c r="S42" s="23" t="n">
        <x:v>35.47</x:v>
      </x:c>
      <x:c r="T42" s="23" t="n">
        <x:v>2.076831254688862</x:v>
      </x:c>
      <x:c r="U42" s="23" t="str">
        <x:v>历史加速 3.0ppt / 前瞻 -0.1ppt</x:v>
      </x:c>
      <x:c r="V42" s="23" t="n">
        <x:v>82.5</x:v>
      </x:c>
      <x:c r="W42" s="23" t="str">
        <x:v>2026Q3</x:v>
      </x:c>
      <x:c r="X42" s="23" t="str">
        <x:v>F</x:v>
      </x:c>
      <x:c r="Y42" s="23" t="str">
        <x:v>Applied Materials official Q2 FY2026 results</x:v>
      </x:c>
      <x:c r="Z42" s="23" t="n">
        <x:v>0.55</x:v>
      </x:c>
      <x:c r="AA42" s="23" t="n">
        <x:v>10.483341214396347</x:v>
      </x:c>
      <x:c r="AB42" s="23" t="n">
        <x:v>8.7</x:v>
      </x:c>
      <x:c r="AC42" s="23" t="n">
        <x:v>1.106</x:v>
      </x:c>
      <x:c r="AD42" s="23" t="n">
        <x:v>0.1271264367816092</x:v>
      </x:c>
      <x:c r="AE42" s="23" t="n">
        <x:v>7.594</x:v>
      </x:c>
      <x:c r="AF42" s="23" t="n">
        <x:v>24</x:v>
      </x:c>
      <x:c r="AG42" s="23" t="n">
        <x:v>0.856</x:v>
      </x:c>
      <x:c r="AH42" s="22" t="str">
        <x:v>SEC Companyfacts</x:v>
      </x:c>
      <x:c r="AI42" s="24" t="str">
        <x:v>https://data.sec.gov/api/xbrl/companyfacts/CIK0000006951.json</x:v>
      </x:c>
      <x:c r="AJ42" s="24" t="str">
        <x:v>https://www.sec.gov/Archives/edgar/data/6951/000162828026037227/0001628280-26-037227-index.html</x:v>
      </x:c>
      <x:c r="AK42" s="24" t="str">
        <x:v>SEC Companyfacts CY2026Q1: revenue $7.910B, gross profit $3.947B, net income $2.806B</x:v>
      </x:c>
      <x:c r="AL42" s="24" t="str">
        <x:v>全球最大半导体设备公司, 沉积/刻蚀/CMP 等核心工艺. 受益于 AI 驱动 capex 周期.</x:v>
      </x:c>
    </x:row>
    <x:row r="43">
      <x:c r="A43" s="22" t="str">
        <x:v>US</x:v>
      </x:c>
      <x:c r="B43" s="22" t="str">
        <x:v>KLAC</x:v>
      </x:c>
      <x:c r="C43" s="22" t="str">
        <x:v>KLA Corp</x:v>
      </x:c>
      <x:c r="D43" s="22" t="str">
        <x:v>foundry</x:v>
      </x:c>
      <x:c r="E43" s="22" t="str">
        <x:v>量测设备</x:v>
      </x:c>
      <x:c r="F43" s="22" t="str">
        <x:v>Yes</x:v>
      </x:c>
      <x:c r="G43" s="22" t="str"/>
      <x:c r="H43" s="23" t="n">
        <x:v>8</x:v>
      </x:c>
      <x:c r="I43" s="23" t="n">
        <x:v>2465</x:v>
      </x:c>
      <x:c r="J43" s="23" t="n">
        <x:v>1.5</x:v>
      </x:c>
      <x:c r="K43" s="23" t="n">
        <x:v>-1.2039728043259361</x:v>
      </x:c>
      <x:c r="L43" s="23" t="str">
        <x:v>2025Q1</x:v>
      </x:c>
      <x:c r="M43" s="23" t="n">
        <x:v>30.6</x:v>
      </x:c>
      <x:c r="N43" s="23" t="str">
        <x:v>2026Q1</x:v>
      </x:c>
      <x:c r="O43" s="23" t="n">
        <x:v>34.2</x:v>
      </x:c>
      <x:c r="P43" s="23" t="n">
        <x:v>11.764705882352944</x:v>
      </x:c>
      <x:c r="Q43" s="23" t="n">
        <x:v>61.12</x:v>
      </x:c>
      <x:c r="R43" s="23" t="n">
        <x:v>35.17</x:v>
      </x:c>
      <x:c r="S43" s="23" t="n">
        <x:v>35.17</x:v>
      </x:c>
      <x:c r="T43" s="23" t="n">
        <x:v>-0.35489187128318433</x:v>
      </x:c>
      <x:c r="U43" s="23" t="str">
        <x:v>历史加速 -1.1ppt / 前瞻 1.3ppt</x:v>
      </x:c>
      <x:c r="V43" s="23" t="n">
        <x:v>35.75</x:v>
      </x:c>
      <x:c r="W43" s="23" t="str">
        <x:v>2026Q2</x:v>
      </x:c>
      <x:c r="X43" s="23" t="str">
        <x:v>F</x:v>
      </x:c>
      <x:c r="Y43" s="23" t="str">
        <x:v>KLA official fiscal 2026 Q3 earnings release</x:v>
      </x:c>
      <x:c r="Z43" s="23" t="n">
        <x:v>0.45</x:v>
      </x:c>
      <x:c r="AA43" s="23" t="n">
        <x:v>10.010804420668737</x:v>
      </x:c>
      <x:c r="AB43" s="23" t="n">
        <x:v>3.67</x:v>
      </x:c>
      <x:c r="AC43" s="23" t="n">
        <x:v>0.342</x:v>
      </x:c>
      <x:c r="AD43" s="23" t="n">
        <x:v>0.09318801089918256</x:v>
      </x:c>
      <x:c r="AE43" s="23" t="n">
        <x:v>3.328</x:v>
      </x:c>
      <x:c r="AF43" s="23" t="n">
        <x:v>24.33</x:v>
      </x:c>
      <x:c r="AG43" s="23" t="n">
        <x:v>-3.805</x:v>
      </x:c>
      <x:c r="AH43" s="22" t="str">
        <x:v>SEC Companyfacts</x:v>
      </x:c>
      <x:c r="AI43" s="24" t="str">
        <x:v>https://data.sec.gov/api/xbrl/companyfacts/CIK0000319201.json</x:v>
      </x:c>
      <x:c r="AJ43" s="24" t="str">
        <x:v>https://www.sec.gov/Archives/edgar/data/319201/000031920126000016/0000319201-26-000016-index.html</x:v>
      </x:c>
      <x:c r="AK43" s="24" t="str">
        <x:v>SEC Companyfacts CY2026Q1: revenue $3.415B, gross profit $2.087B (revenue minus CostOfRevenue $1.328B), net income $1.201B</x:v>
      </x:c>
      <x:c r="AL43" s="24" t="str">
        <x:v>晶圆量测/检测设备龙头, 先进制程良率提升核心环节. 高毛利率 (~60%) + 稳定 capex 受益.</x:v>
      </x:c>
    </x:row>
    <x:row r="44">
      <x:c r="A44" s="22" t="str">
        <x:v>US</x:v>
      </x:c>
      <x:c r="B44" s="22" t="str">
        <x:v>ONTO</x:v>
      </x:c>
      <x:c r="C44" s="22" t="str">
        <x:v>Onto Innovation</x:v>
      </x:c>
      <x:c r="D44" s="22" t="str">
        <x:v>foundry</x:v>
      </x:c>
      <x:c r="E44" s="22" t="str">
        <x:v>先进封装量测</x:v>
      </x:c>
      <x:c r="F44" s="22" t="str">
        <x:v>Yes</x:v>
      </x:c>
      <x:c r="G44" s="22" t="str"/>
      <x:c r="H44" s="23" t="n">
        <x:v>7</x:v>
      </x:c>
      <x:c r="I44" s="23" t="n">
        <x:v>141</x:v>
      </x:c>
      <x:c r="J44" s="23" t="n">
        <x:v>4</x:v>
      </x:c>
      <x:c r="K44" s="23" t="n">
        <x:v>-0.2231435513142097</x:v>
      </x:c>
      <x:c r="L44" s="23" t="str">
        <x:v>2025Q1</x:v>
      </x:c>
      <x:c r="M44" s="23" t="n">
        <x:v>2.7</x:v>
      </x:c>
      <x:c r="N44" s="23" t="str">
        <x:v>2026Q1</x:v>
      </x:c>
      <x:c r="O44" s="23" t="n">
        <x:v>2.9</x:v>
      </x:c>
      <x:c r="P44" s="23" t="n">
        <x:v>7.407407407407396</x:v>
      </x:c>
      <x:c r="Q44" s="23" t="n">
        <x:v>50.14</x:v>
      </x:c>
      <x:c r="R44" s="23" t="n">
        <x:v>11.56</x:v>
      </x:c>
      <x:c r="S44" s="23" t="n">
        <x:v>11.56</x:v>
      </x:c>
      <x:c r="T44" s="23" t="n">
        <x:v>16.44021827470103</x:v>
      </x:c>
      <x:c r="U44" s="23" t="str">
        <x:v>历史加速 24.8ppt / 前瞻 -3.0ppt</x:v>
      </x:c>
      <x:c r="V44" s="23" t="n">
        <x:v>3.25</x:v>
      </x:c>
      <x:c r="W44" s="23" t="str">
        <x:v>2026Q2</x:v>
      </x:c>
      <x:c r="X44" s="23" t="str">
        <x:v>F</x:v>
      </x:c>
      <x:c r="Y44" s="23" t="str">
        <x:v>Onto Innovation official Q1 2026 results</x:v>
      </x:c>
      <x:c r="Z44" s="23" t="n">
        <x:v>0.5</x:v>
      </x:c>
      <x:c r="AA44" s="23" t="n">
        <x:v>6.018671088472032</x:v>
      </x:c>
      <x:c r="AB44" s="23" t="n">
        <x:v>0.172</x:v>
      </x:c>
      <x:c r="AC44" s="23" t="n">
        <x:v>0.023</x:v>
      </x:c>
      <x:c r="AD44" s="23" t="n">
        <x:v>0.13372093023255816</x:v>
      </x:c>
      <x:c r="AE44" s="23" t="n">
        <x:v>0.149</x:v>
      </x:c>
      <x:c r="AF44" s="23" t="n">
        <x:v>12.88</x:v>
      </x:c>
      <x:c r="AG44" s="23" t="n">
        <x:v>0.341</x:v>
      </x:c>
      <x:c r="AH44" s="22" t="str">
        <x:v>SEC Companyfacts</x:v>
      </x:c>
      <x:c r="AI44" s="24" t="str">
        <x:v>https://data.sec.gov/api/xbrl/companyfacts/CIK0000704532.json</x:v>
      </x:c>
      <x:c r="AJ44" s="24" t="str">
        <x:v>https://www.sec.gov/Archives/edgar/data/704532/000119312526206707/0001193125-26-206707-index.html</x:v>
      </x:c>
      <x:c r="AK44" s="24" t="str">
        <x:v>SEC Companyfacts CY2026Q1: revenue $0.292B, gross profit $0.146B, net income $0.034B</x:v>
      </x:c>
      <x:c r="AL44" s="24" t="str">
        <x:v>晶圆/掩膜版/HBM 封装的量测设备, 受益先进封装 (CoWoS) 产能扩张.</x:v>
      </x:c>
    </x:row>
    <x:row r="45">
      <x:c r="A45" s="22" t="str">
        <x:v>US</x:v>
      </x:c>
      <x:c r="B45" s="22" t="str">
        <x:v>SNPS</x:v>
      </x:c>
      <x:c r="C45" s="22" t="str">
        <x:v>Synopsys</x:v>
      </x:c>
      <x:c r="D45" s="22" t="str">
        <x:v>foundry</x:v>
      </x:c>
      <x:c r="E45" s="22" t="str">
        <x:v>EDA 软件</x:v>
      </x:c>
      <x:c r="F45" s="22" t="str">
        <x:v>Yes</x:v>
      </x:c>
      <x:c r="G45" s="22" t="str"/>
      <x:c r="H45" s="23" t="n">
        <x:v>7</x:v>
      </x:c>
      <x:c r="I45" s="23" t="n">
        <x:v>751</x:v>
      </x:c>
      <x:c r="J45" s="23" t="n">
        <x:v>1.5</x:v>
      </x:c>
      <x:c r="K45" s="23" t="n">
        <x:v>-1.2039728043259361</x:v>
      </x:c>
      <x:c r="L45" s="23" t="str">
        <x:v>2025Q1</x:v>
      </x:c>
      <x:c r="M45" s="23" t="n">
        <x:v>16</x:v>
      </x:c>
      <x:c r="N45" s="23" t="str">
        <x:v>2026Q1</x:v>
      </x:c>
      <x:c r="O45" s="23" t="n">
        <x:v>22.8</x:v>
      </x:c>
      <x:c r="P45" s="23" t="n">
        <x:v>42.50000000000001</x:v>
      </x:c>
      <x:c r="Q45" s="23" t="n">
        <x:v>72.33</x:v>
      </x:c>
      <x:c r="R45" s="23" t="n">
        <x:v>0.75</x:v>
      </x:c>
      <x:c r="S45" s="23" t="n">
        <x:v>0.75</x:v>
      </x:c>
      <x:c r="T45" s="23" t="n">
        <x:v>5.599284935224026</x:v>
      </x:c>
      <x:c r="U45" s="23" t="str">
        <x:v>历史加速 12.2ppt / 前瞻 -9.8ppt</x:v>
      </x:c>
      <x:c r="V45" s="23" t="n">
        <x:v>24.35</x:v>
      </x:c>
      <x:c r="W45" s="23" t="str">
        <x:v>2026Q3</x:v>
      </x:c>
      <x:c r="X45" s="23" t="str">
        <x:v>F</x:v>
      </x:c>
      <x:c r="Y45" s="23" t="str">
        <x:v>Synopsys official Q2 FY2026 results</x:v>
      </x:c>
      <x:c r="Z45" s="23" t="n">
        <x:v>0.45</x:v>
      </x:c>
      <x:c r="AA45" s="23" t="n">
        <x:v>8.05823531540264</x:v>
      </x:c>
      <x:c r="AB45" s="23" t="n">
        <x:v>1.703</x:v>
      </x:c>
      <x:c r="AC45" s="23" t="n">
        <x:v>0.19</x:v>
      </x:c>
      <x:c r="AD45" s="23" t="n">
        <x:v>0.11156782149148561</x:v>
      </x:c>
      <x:c r="AE45" s="23" t="n">
        <x:v>1.514</x:v>
      </x:c>
      <x:c r="AF45" s="23" t="n">
        <x:v>16.6</x:v>
      </x:c>
      <x:c r="AG45" s="23" t="n">
        <x:v>-7.148</x:v>
      </x:c>
      <x:c r="AH45" s="22" t="str">
        <x:v>SEC Companyfacts</x:v>
      </x:c>
      <x:c r="AI45" s="24" t="str">
        <x:v>https://data.sec.gov/api/xbrl/companyfacts/CIK0000883241.json</x:v>
      </x:c>
      <x:c r="AJ45" s="24" t="str">
        <x:v>https://www.sec.gov/Archives/edgar/data/883241/000088324126000018/0000883241-26-000018-index.html</x:v>
      </x:c>
      <x:c r="AK45" s="24" t="str">
        <x:v>SEC Companyfacts CY2026Q1: revenue $2.276B, gross profit $1.646B, net income $0.017B</x:v>
      </x:c>
      <x:c r="AL45" s="24" t="str">
        <x:v>芯片设计 EDA 双寡头之一 (与 Cadence). 所有 AI 芯片设计都用其工具, 抗周期能力强.</x:v>
      </x:c>
    </x:row>
    <x:row r="46">
      <x:c r="A46" s="22" t="str">
        <x:v>US</x:v>
      </x:c>
      <x:c r="B46" s="22" t="str">
        <x:v>MU</x:v>
      </x:c>
      <x:c r="C46" s="22" t="str">
        <x:v>Micron</x:v>
      </x:c>
      <x:c r="D46" s="22" t="str">
        <x:v>memory</x:v>
      </x:c>
      <x:c r="E46" s="22" t="str">
        <x:v>DRAM/HBM</x:v>
      </x:c>
      <x:c r="F46" s="22" t="str">
        <x:v>Yes</x:v>
      </x:c>
      <x:c r="G46" s="22" t="str"/>
      <x:c r="H46" s="23" t="n">
        <x:v>9</x:v>
      </x:c>
      <x:c r="I46" s="23" t="n">
        <x:v>8900</x:v>
      </x:c>
      <x:c r="J46" s="23" t="n">
        <x:v>4.5</x:v>
      </x:c>
      <x:c r="K46" s="23" t="n">
        <x:v>-0.10536051565782628</x:v>
      </x:c>
      <x:c r="L46" s="23" t="str">
        <x:v>2025Q1</x:v>
      </x:c>
      <x:c r="M46" s="23" t="n">
        <x:v>80.5</x:v>
      </x:c>
      <x:c r="N46" s="23" t="str">
        <x:v>2026Q1</x:v>
      </x:c>
      <x:c r="O46" s="23" t="n">
        <x:v>238.6</x:v>
      </x:c>
      <x:c r="P46" s="23" t="n">
        <x:v>196.3975155279503</x:v>
      </x:c>
      <x:c r="Q46" s="23" t="n">
        <x:v>74.41</x:v>
      </x:c>
      <x:c r="R46" s="23" t="n">
        <x:v>57.77</x:v>
      </x:c>
      <x:c r="S46" s="23" t="n">
        <x:v>57.77</x:v>
      </x:c>
      <x:c r="T46" s="23" t="n">
        <x:v>18.168048133692857</x:v>
      </x:c>
      <x:c r="U46" s="23" t="str">
        <x:v>历史加速 29.1ppt / 前瞻 -7.3ppt</x:v>
      </x:c>
      <x:c r="V46" s="23" t="n">
        <x:v>335</x:v>
      </x:c>
      <x:c r="W46" s="23" t="str">
        <x:v>2026Q2</x:v>
      </x:c>
      <x:c r="X46" s="23" t="str">
        <x:v>F</x:v>
      </x:c>
      <x:c r="Y46" s="23" t="str">
        <x:v>Micron official FY2026 Q2 earnings release</x:v>
      </x:c>
      <x:c r="Z46" s="23" t="n">
        <x:v>1</x:v>
      </x:c>
      <x:c r="AA46" s="23" t="n">
        <x:v>8.581544533248321</x:v>
      </x:c>
      <x:c r="AB46" s="23" t="n">
        <x:v>1.559</x:v>
      </x:c>
      <x:c r="AC46" s="23" t="n">
        <x:v>7.676</x:v>
      </x:c>
      <x:c r="AD46" s="23" t="n">
        <x:v>4.923669018601668</x:v>
      </x:c>
      <x:c r="AE46" s="23" t="n">
        <x:v>-6.117</x:v>
      </x:c>
      <x:c r="AF46" s="23" t="n">
        <x:v>-6.41</x:v>
      </x:c>
      <x:c r="AG46" s="23" t="n">
        <x:v>0.798</x:v>
      </x:c>
      <x:c r="AH46" s="22" t="str">
        <x:v>SEC Companyfacts</x:v>
      </x:c>
      <x:c r="AI46" s="24" t="str">
        <x:v>https://data.sec.gov/api/xbrl/companyfacts/CIK0000723125.json</x:v>
      </x:c>
      <x:c r="AJ46" s="24" t="str">
        <x:v>https://micron.gcs-web.com/news-releases/news-release-details/micron-technology-inc-reports-results-second-quarter-fiscal-2026</x:v>
      </x:c>
      <x:c r="AK46" s="24" t="str">
        <x:v>FY2026 Q2 ended Feb 26 2026: revenue $23.860B, GAAP gross margin $17.755B, GAAP net income $13.785B</x:v>
      </x:c>
      <x:c r="AL46" s="24" t="str">
        <x:v>美国唯一 DRAM 大厂, HBM3E 与 SK 海力士/三星竞争. AI 服务器内存核心受益.</x:v>
      </x:c>
    </x:row>
    <x:row r="47">
      <x:c r="A47" s="22" t="str">
        <x:v>US</x:v>
      </x:c>
      <x:c r="B47" s="22" t="str">
        <x:v>SNDK</x:v>
      </x:c>
      <x:c r="C47" s="22" t="str">
        <x:v>Sandisk</x:v>
      </x:c>
      <x:c r="D47" s="22" t="str">
        <x:v>memory</x:v>
      </x:c>
      <x:c r="E47" s="22" t="str">
        <x:v>NAND</x:v>
      </x:c>
      <x:c r="F47" s="22" t="str">
        <x:v>Yes</x:v>
      </x:c>
      <x:c r="G47" s="22" t="str"/>
      <x:c r="H47" s="23" t="n">
        <x:v>6</x:v>
      </x:c>
      <x:c r="I47" s="23" t="n">
        <x:v>2285</x:v>
      </x:c>
      <x:c r="J47" s="23" t="n">
        <x:v>5.5</x:v>
      </x:c>
      <x:c r="K47" s="23" t="n">
        <x:v>-0.09531017980432493</x:v>
      </x:c>
      <x:c r="L47" s="23" t="str">
        <x:v>2025Q1</x:v>
      </x:c>
      <x:c r="M47" s="23" t="n">
        <x:v>16.9</x:v>
      </x:c>
      <x:c r="N47" s="23" t="str">
        <x:v>2026Q1</x:v>
      </x:c>
      <x:c r="O47" s="23" t="n">
        <x:v>59.5</x:v>
      </x:c>
      <x:c r="P47" s="23" t="n">
        <x:v>252.0710059171598</x:v>
      </x:c>
      <x:c r="Q47" s="23" t="n">
        <x:v>78.35</x:v>
      </x:c>
      <x:c r="R47" s="23" t="n">
        <x:v>60.76</x:v>
      </x:c>
      <x:c r="S47" s="23" t="n">
        <x:v>60</x:v>
      </x:c>
      <x:c r="T47" s="23" t="n">
        <x:v>23.98555010591856</x:v>
      </x:c>
      <x:c r="U47" s="23" t="str">
        <x:v>历史加速 46.9ppt / 前瞻 -29.4ppt</x:v>
      </x:c>
      <x:c r="V47" s="23" t="n">
        <x:v>80</x:v>
      </x:c>
      <x:c r="W47" s="23" t="str">
        <x:v>2026Q2</x:v>
      </x:c>
      <x:c r="X47" s="23" t="str">
        <x:v>F</x:v>
      </x:c>
      <x:c r="Y47" s="23" t="str">
        <x:v>Sandisk official fiscal Q3 2026 results</x:v>
      </x:c>
      <x:c r="Z47" s="23" t="n">
        <x:v>1</x:v>
      </x:c>
      <x:c r="AA47" s="23" t="n">
        <x:v>7.4195550013589395</x:v>
      </x:c>
      <x:c r="AB47" s="23" t="n">
        <x:v>-0.713</x:v>
      </x:c>
      <x:c r="AC47" s="23" t="n">
        <x:v>0.219</x:v>
      </x:c>
      <x:c r="AD47" s="23"/>
      <x:c r="AE47" s="23" t="n">
        <x:v>-0.932</x:v>
      </x:c>
      <x:c r="AF47" s="23" t="n">
        <x:v>-3.92</x:v>
      </x:c>
      <x:c r="AG47" s="23" t="n">
        <x:v>-0.368</x:v>
      </x:c>
      <x:c r="AH47" s="22" t="str">
        <x:v>SEC Companyfacts</x:v>
      </x:c>
      <x:c r="AI47" s="24" t="str">
        <x:v>https://data.sec.gov/api/xbrl/companyfacts/CIK0002023554.json</x:v>
      </x:c>
      <x:c r="AJ47" s="24" t="str">
        <x:v>https://www.sec.gov/Archives/edgar/data/2023554/000162828026029401/0001628280-26-029401-index.html</x:v>
      </x:c>
      <x:c r="AK47" s="24" t="str">
        <x:v>SEC Companyfacts CY2026Q1: revenue $5.950B, gross profit $4.662B, net income $3.615B</x:v>
      </x:c>
      <x:c r="AL47" s="24" t="str">
        <x:v>Western Digital 2025 年分拆出来的 NAND 闪存独立公司, 与铠侠 (Kioxia) 合资生产.</x:v>
      </x:c>
    </x:row>
    <x:row r="48">
      <x:c r="A48" s="22" t="str">
        <x:v>US</x:v>
      </x:c>
      <x:c r="B48" s="22" t="str">
        <x:v>COHR</x:v>
      </x:c>
      <x:c r="C48" s="22" t="str">
        <x:v>Coherent</x:v>
      </x:c>
      <x:c r="D48" s="22" t="str">
        <x:v>network</x:v>
      </x:c>
      <x:c r="E48" s="22" t="str">
        <x:v>光模块/激光</x:v>
      </x:c>
      <x:c r="F48" s="22" t="str">
        <x:v>Yes</x:v>
      </x:c>
      <x:c r="G48" s="22" t="str"/>
      <x:c r="H48" s="23" t="n">
        <x:v>8</x:v>
      </x:c>
      <x:c r="I48" s="23" t="n">
        <x:v>618</x:v>
      </x:c>
      <x:c r="J48" s="23" t="n">
        <x:v>4</x:v>
      </x:c>
      <x:c r="K48" s="23" t="n">
        <x:v>-0.2231435513142097</x:v>
      </x:c>
      <x:c r="L48" s="23" t="str">
        <x:v>2025Q1</x:v>
      </x:c>
      <x:c r="M48" s="23" t="n">
        <x:v>15</x:v>
      </x:c>
      <x:c r="N48" s="23" t="str">
        <x:v>2026Q1</x:v>
      </x:c>
      <x:c r="O48" s="23" t="n">
        <x:v>18.1</x:v>
      </x:c>
      <x:c r="P48" s="23" t="n">
        <x:v>20.66666666666668</x:v>
      </x:c>
      <x:c r="Q48" s="23" t="n">
        <x:v>37.66</x:v>
      </x:c>
      <x:c r="R48" s="23" t="n">
        <x:v>10.06</x:v>
      </x:c>
      <x:c r="S48" s="23" t="n">
        <x:v>10.06</x:v>
      </x:c>
      <x:c r="T48" s="23" t="n">
        <x:v>3.786412114824245</x:v>
      </x:c>
      <x:c r="U48" s="23" t="str">
        <x:v>历史加速 4.4ppt / 前瞻 2.4ppt</x:v>
      </x:c>
      <x:c r="V48" s="23" t="n">
        <x:v>19.8</x:v>
      </x:c>
      <x:c r="W48" s="23" t="str">
        <x:v>2026Q2</x:v>
      </x:c>
      <x:c r="X48" s="23" t="str">
        <x:v>F</x:v>
      </x:c>
      <x:c r="Y48" s="23" t="str">
        <x:v>Coherent official Q3 FY2026 results</x:v>
      </x:c>
      <x:c r="Z48" s="23" t="n">
        <x:v>0.7</x:v>
      </x:c>
      <x:c r="AA48" s="23" t="n">
        <x:v>6.650250747596652</x:v>
      </x:c>
      <x:c r="AB48" s="23" t="n">
        <x:v>0.634</x:v>
      </x:c>
      <x:c r="AC48" s="23" t="n">
        <x:v>0.436</x:v>
      </x:c>
      <x:c r="AD48" s="23" t="n">
        <x:v>0.6876971608832807</x:v>
      </x:c>
      <x:c r="AE48" s="23" t="n">
        <x:v>0.198</x:v>
      </x:c>
      <x:c r="AF48" s="23" t="n">
        <x:v>2.73</x:v>
      </x:c>
      <x:c r="AG48" s="23" t="n">
        <x:v>-2.797</x:v>
      </x:c>
      <x:c r="AH48" s="22" t="str">
        <x:v>SEC Companyfacts</x:v>
      </x:c>
      <x:c r="AI48" s="24" t="str">
        <x:v>https://data.sec.gov/api/xbrl/companyfacts/CIK0000820318.json</x:v>
      </x:c>
      <x:c r="AJ48" s="24" t="str">
        <x:v>https://www.sec.gov/Archives/edgar/data/820318/000082031826000013/0000820318-26-000013-index.html</x:v>
      </x:c>
      <x:c r="AK48" s="24" t="str">
        <x:v>SEC Companyfacts CY2026Q1: revenue $1.806B, gross profit $0.680B (revenue minus CostOfGoodsAndServicesSold $1.126B), net income $0.182B</x:v>
      </x:c>
      <x:c r="AL48" s="24" t="str">
        <x:v>光通信 (800G/1.6T 收发器) + 工业激光, AI 数据中心互联核心元件供应.</x:v>
      </x:c>
    </x:row>
    <x:row r="49">
      <x:c r="A49" s="22" t="str">
        <x:v>US</x:v>
      </x:c>
      <x:c r="B49" s="22" t="str">
        <x:v>LITE</x:v>
      </x:c>
      <x:c r="C49" s="22" t="str">
        <x:v>Lumentum</x:v>
      </x:c>
      <x:c r="D49" s="22" t="str">
        <x:v>network</x:v>
      </x:c>
      <x:c r="E49" s="22" t="str">
        <x:v>光模块</x:v>
      </x:c>
      <x:c r="F49" s="22" t="str">
        <x:v>Yes</x:v>
      </x:c>
      <x:c r="G49" s="22" t="str"/>
      <x:c r="H49" s="23" t="n">
        <x:v>7</x:v>
      </x:c>
      <x:c r="I49" s="23" t="n">
        <x:v>703</x:v>
      </x:c>
      <x:c r="J49" s="23" t="n">
        <x:v>4.5</x:v>
      </x:c>
      <x:c r="K49" s="23" t="n">
        <x:v>-0.10536051565782628</x:v>
      </x:c>
      <x:c r="L49" s="23" t="str">
        <x:v>2025Q1</x:v>
      </x:c>
      <x:c r="M49" s="23" t="n">
        <x:v>4.3</x:v>
      </x:c>
      <x:c r="N49" s="23" t="str">
        <x:v>2026Q1</x:v>
      </x:c>
      <x:c r="O49" s="23" t="n">
        <x:v>8.1</x:v>
      </x:c>
      <x:c r="P49" s="23" t="n">
        <x:v>88.37209302325581</x:v>
      </x:c>
      <x:c r="Q49" s="23" t="n">
        <x:v>44.16</x:v>
      </x:c>
      <x:c r="R49" s="23" t="n">
        <x:v>17.84</x:v>
      </x:c>
      <x:c r="S49" s="23" t="n">
        <x:v>17.84</x:v>
      </x:c>
      <x:c r="T49" s="23" t="n">
        <x:v>8.228004051824152</x:v>
      </x:c>
      <x:c r="U49" s="23" t="str">
        <x:v>历史加速 12.6ppt / 前瞻 -2.1ppt</x:v>
      </x:c>
      <x:c r="V49" s="23" t="n">
        <x:v>9.85</x:v>
      </x:c>
      <x:c r="W49" s="23" t="str">
        <x:v>2026Q2</x:v>
      </x:c>
      <x:c r="X49" s="23" t="str">
        <x:v>F</x:v>
      </x:c>
      <x:c r="Y49" s="23" t="str">
        <x:v>Lumentum official Q3 FY2026 results</x:v>
      </x:c>
      <x:c r="Z49" s="23" t="n">
        <x:v>0.75</x:v>
      </x:c>
      <x:c r="AA49" s="23" t="n">
        <x:v>6.674630809745757</x:v>
      </x:c>
      <x:c r="AB49" s="23" t="n">
        <x:v>0.18</x:v>
      </x:c>
      <x:c r="AC49" s="23" t="n">
        <x:v>0.129</x:v>
      </x:c>
      <x:c r="AD49" s="23" t="n">
        <x:v>0.7166666666666667</x:v>
      </x:c>
      <x:c r="AE49" s="23" t="n">
        <x:v>0.051</x:v>
      </x:c>
      <x:c r="AF49" s="23" t="n">
        <x:v>1.58</x:v>
      </x:c>
      <x:c r="AG49" s="23" t="n">
        <x:v>-1.884</x:v>
      </x:c>
      <x:c r="AH49" s="22" t="str">
        <x:v>SEC Companyfacts</x:v>
      </x:c>
      <x:c r="AI49" s="24" t="str">
        <x:v>https://data.sec.gov/api/xbrl/companyfacts/CIK0001633978.json</x:v>
      </x:c>
      <x:c r="AJ49" s="24" t="str">
        <x:v>https://investor.lumentum.com/financial-news-releases/news-details/2026/Lumentum-Announces-Third-Quarter-of-Fiscal-Year-2026-Financial-Results/default.aspx</x:v>
      </x:c>
      <x:c r="AK49" s="24" t="str">
        <x:v>Lumentum FY2026 Q3 ended Mar 28 2026 official results: net revenue $808.4M, GAAP gross profit $357.0M, GAAP net income $144.2M; mapped to 2026Q1 by period end date.</x:v>
      </x:c>
      <x:c r="AL49" s="24" t="str">
        <x:v>数据中心光模块 + 3D 感测激光, AI 网络扩张直接受益.</x:v>
      </x:c>
    </x:row>
    <x:row r="50">
      <x:c r="A50" s="22" t="str">
        <x:v>US</x:v>
      </x:c>
      <x:c r="B50" s="22" t="str">
        <x:v>FN</x:v>
      </x:c>
      <x:c r="C50" s="22" t="str">
        <x:v>Fabrinet</x:v>
      </x:c>
      <x:c r="D50" s="22" t="str">
        <x:v>network</x:v>
      </x:c>
      <x:c r="E50" s="22" t="str">
        <x:v>光器件制造</x:v>
      </x:c>
      <x:c r="F50" s="22" t="str">
        <x:v>Yes</x:v>
      </x:c>
      <x:c r="G50" s="22" t="str"/>
      <x:c r="H50" s="23" t="n">
        <x:v>7</x:v>
      </x:c>
      <x:c r="I50" s="23" t="n">
        <x:v>253</x:v>
      </x:c>
      <x:c r="J50" s="23" t="n">
        <x:v>3</x:v>
      </x:c>
      <x:c r="K50" s="23" t="n">
        <x:v>-0.5108256237659907</x:v>
      </x:c>
      <x:c r="L50" s="23" t="str">
        <x:v>2025Q1</x:v>
      </x:c>
      <x:c r="M50" s="23" t="n">
        <x:v>8.7</x:v>
      </x:c>
      <x:c r="N50" s="23" t="str">
        <x:v>2026Q1</x:v>
      </x:c>
      <x:c r="O50" s="23" t="n">
        <x:v>12.1</x:v>
      </x:c>
      <x:c r="P50" s="23" t="n">
        <x:v>39.08045977011494</x:v>
      </x:c>
      <x:c r="Q50" s="23" t="n">
        <x:v>11.89</x:v>
      </x:c>
      <x:c r="R50" s="23" t="n">
        <x:v>10.31</x:v>
      </x:c>
      <x:c r="S50" s="23" t="n">
        <x:v>10.31</x:v>
      </x:c>
      <x:c r="T50" s="23" t="n">
        <x:v>1.6632539045143186</x:v>
      </x:c>
      <x:c r="U50" s="23" t="str">
        <x:v>历史加速 5.0ppt / 前瞻 -6.2ppt</x:v>
      </x:c>
      <x:c r="V50" s="23" t="n">
        <x:v>12.7</x:v>
      </x:c>
      <x:c r="W50" s="23" t="str">
        <x:v>2026Q2</x:v>
      </x:c>
      <x:c r="X50" s="23" t="str">
        <x:v>F</x:v>
      </x:c>
      <x:c r="Y50" s="23" t="str">
        <x:v>Fabrinet official Q3 FY2026 results / SEC exhibit</x:v>
      </x:c>
      <x:c r="Z50" s="23" t="n">
        <x:v>0.65</x:v>
      </x:c>
      <x:c r="AA50" s="23" t="n">
        <x:v>5.816818303217418</x:v>
      </x:c>
      <x:c r="AB50" s="23" t="n">
        <x:v>0.213</x:v>
      </x:c>
      <x:c r="AC50" s="23" t="n">
        <x:v>0.061</x:v>
      </x:c>
      <x:c r="AD50" s="23" t="n">
        <x:v>0.2863849765258216</x:v>
      </x:c>
      <x:c r="AE50" s="23" t="n">
        <x:v>0.152</x:v>
      </x:c>
      <x:c r="AF50" s="23" t="n">
        <x:v>3.14</x:v>
      </x:c>
      <x:c r="AG50" s="23" t="n">
        <x:v>0.285</x:v>
      </x:c>
      <x:c r="AH50" s="22" t="str">
        <x:v>SEC Companyfacts</x:v>
      </x:c>
      <x:c r="AI50" s="24" t="str">
        <x:v>https://data.sec.gov/api/xbrl/companyfacts/CIK0001408710.json</x:v>
      </x:c>
      <x:c r="AJ50" s="24" t="str">
        <x:v>https://www.sec.gov/Archives/edgar/data/1408710/000140871026000016/0001408710-26-000016-index.html</x:v>
      </x:c>
      <x:c r="AK50" s="24" t="str">
        <x:v>SEC Companyfacts CY2026Q1: revenue $1.214B, gross profit $0.144B, net income $0.125B</x:v>
      </x:c>
      <x:c r="AL50" s="24" t="str">
        <x:v>光通信器件 OEM 代工, NVDA 光模块主要外包伙伴. AI 网络渗透核心配套.</x:v>
      </x:c>
    </x:row>
    <x:row r="51">
      <x:c r="A51" s="22" t="str">
        <x:v>US</x:v>
      </x:c>
      <x:c r="B51" s="22" t="str">
        <x:v>MSFT</x:v>
      </x:c>
      <x:c r="C51" s="22" t="str">
        <x:v>Microsoft</x:v>
      </x:c>
      <x:c r="D51" s="22" t="str">
        <x:v>hyperscaler</x:v>
      </x:c>
      <x:c r="E51" s="22" t="str">
        <x:v>云/AI 平台</x:v>
      </x:c>
      <x:c r="F51" s="22" t="str">
        <x:v>Yes</x:v>
      </x:c>
      <x:c r="G51" s="22" t="str"/>
      <x:c r="H51" s="23" t="n">
        <x:v>9</x:v>
      </x:c>
      <x:c r="I51" s="23" t="n">
        <x:v>30510</x:v>
      </x:c>
      <x:c r="J51" s="23" t="n">
        <x:v>0.5</x:v>
      </x:c>
      <x:c r="K51" s="23" t="n">
        <x:v>-2.3025850929940455</x:v>
      </x:c>
      <x:c r="L51" s="23" t="str">
        <x:v>2025Q1</x:v>
      </x:c>
      <x:c r="M51" s="23" t="n">
        <x:v>700.7</x:v>
      </x:c>
      <x:c r="N51" s="23" t="str">
        <x:v>2026Q1</x:v>
      </x:c>
      <x:c r="O51" s="23" t="n">
        <x:v>828.9</x:v>
      </x:c>
      <x:c r="P51" s="23" t="n">
        <x:v>18.295989724561146</x:v>
      </x:c>
      <x:c r="Q51" s="23" t="n">
        <x:v>67.63</x:v>
      </x:c>
      <x:c r="R51" s="23" t="n">
        <x:v>38.34</x:v>
      </x:c>
      <x:c r="S51" s="23" t="n">
        <x:v>38.34</x:v>
      </x:c>
      <x:c r="T51" s="23" t="n">
        <x:v>-0.8413401243642449</x:v>
      </x:c>
      <x:c r="U51" s="23" t="str">
        <x:v>历史加速 -2.0ppt / 前瞻 1.9ppt</x:v>
      </x:c>
      <x:c r="V51" s="23" t="n">
        <x:v>872.5</x:v>
      </x:c>
      <x:c r="W51" s="23" t="str">
        <x:v>2026Q2</x:v>
      </x:c>
      <x:c r="X51" s="23" t="str">
        <x:v>F</x:v>
      </x:c>
      <x:c r="Y51" s="23" t="str">
        <x:v>Microsoft FY26 Q3 earnings call official outlook</x:v>
      </x:c>
      <x:c r="Z51" s="23" t="n">
        <x:v>0.1</x:v>
      </x:c>
      <x:c r="AA51" s="23" t="n">
        <x:v>12.496872544812163</x:v>
      </x:c>
      <x:c r="AB51" s="23" t="n">
        <x:v>87.582</x:v>
      </x:c>
      <x:c r="AC51" s="23" t="n">
        <x:v>28.107</x:v>
      </x:c>
      <x:c r="AD51" s="23" t="n">
        <x:v>0.3209221072823183</x:v>
      </x:c>
      <x:c r="AE51" s="23" t="n">
        <x:v>59.475</x:v>
      </x:c>
      <x:c r="AF51" s="23" t="n">
        <x:v>17.94</x:v>
      </x:c>
      <x:c r="AG51" s="23" t="n">
        <x:v>-12.909</x:v>
      </x:c>
      <x:c r="AH51" s="22" t="str">
        <x:v>SEC Companyfacts</x:v>
      </x:c>
      <x:c r="AI51" s="24" t="str">
        <x:v>https://data.sec.gov/api/xbrl/companyfacts/CIK0000789019.json</x:v>
      </x:c>
      <x:c r="AJ51" s="24" t="str">
        <x:v>https://www.microsoft.com/en-us/investor/earnings/fy-2026-q3/press-release-webcast</x:v>
      </x:c>
      <x:c r="AK51" s="24" t="str">
        <x:v>FY2026 Q3 ended Mar 31 2026: revenue $82.886B, gross margin $56.058B, GAAP net income $31.778B</x:v>
      </x:c>
      <x:c r="AL51" s="24" t="str">
        <x:v>Azure 云 + OpenAI 战略投资 + Copilot 全线产品. 全球 AI 商业化最深玩家.</x:v>
      </x:c>
    </x:row>
    <x:row r="52">
      <x:c r="A52" s="22" t="str">
        <x:v>US</x:v>
      </x:c>
      <x:c r="B52" s="22" t="str">
        <x:v>GOOGL</x:v>
      </x:c>
      <x:c r="C52" s="22" t="str">
        <x:v>Alphabet</x:v>
      </x:c>
      <x:c r="D52" s="22" t="str">
        <x:v>hyperscaler</x:v>
      </x:c>
      <x:c r="E52" s="22" t="str">
        <x:v>搜索/云/AI</x:v>
      </x:c>
      <x:c r="F52" s="22" t="str">
        <x:v>Yes</x:v>
      </x:c>
      <x:c r="G52" s="22" t="str"/>
      <x:c r="H52" s="23" t="n">
        <x:v>9</x:v>
      </x:c>
      <x:c r="I52" s="23" t="n">
        <x:v>47330</x:v>
      </x:c>
      <x:c r="J52" s="23" t="n">
        <x:v>0.8</x:v>
      </x:c>
      <x:c r="K52" s="23" t="n">
        <x:v>-1.8325814637483102</x:v>
      </x:c>
      <x:c r="L52" s="23" t="str">
        <x:v>2025Q1</x:v>
      </x:c>
      <x:c r="M52" s="23" t="n">
        <x:v>902.3</x:v>
      </x:c>
      <x:c r="N52" s="23" t="str">
        <x:v>2026Q1</x:v>
      </x:c>
      <x:c r="O52" s="23" t="n">
        <x:v>1099</x:v>
      </x:c>
      <x:c r="P52" s="23" t="n">
        <x:v>21.799844840962002</x:v>
      </x:c>
      <x:c r="Q52" s="23" t="n">
        <x:v>62.45</x:v>
      </x:c>
      <x:c r="R52" s="23" t="n">
        <x:v>56.94</x:v>
      </x:c>
      <x:c r="S52" s="23" t="n">
        <x:v>56.94</x:v>
      </x:c>
      <x:c r="T52" s="23" t="n">
        <x:v>-2.623299890677977</x:v>
      </x:c>
      <x:c r="U52" s="23" t="str">
        <x:v>历史加速 -2.6ppt / 无forecast不扣分</x:v>
      </x:c>
      <x:c r="V52" s="23"/>
      <x:c r="W52" s="23" t="str">
        <x:v>2026Q2</x:v>
      </x:c>
      <x:c r="X52" s="23" t="str">
        <x:v>NA</x:v>
      </x:c>
      <x:c r="Y52" s="23" t="str">
        <x:v>没有季度级官方 forecast</x:v>
      </x:c>
      <x:c r="Z52" s="23" t="n">
        <x:v>0.1</x:v>
      </x:c>
      <x:c r="AA52" s="23" t="n">
        <x:v>12.79336750132481</x:v>
      </x:c>
      <x:c r="AB52" s="23" t="n">
        <x:v>101.746</x:v>
      </x:c>
      <x:c r="AC52" s="23" t="n">
        <x:v>32.251</x:v>
      </x:c>
      <x:c r="AD52" s="23" t="n">
        <x:v>0.31697560592062585</x:v>
      </x:c>
      <x:c r="AE52" s="23" t="n">
        <x:v>69.495</x:v>
      </x:c>
      <x:c r="AF52" s="23" t="n">
        <x:v>15.81</x:v>
      </x:c>
      <x:c r="AG52" s="23" t="n">
        <x:v>-18.377</x:v>
      </x:c>
      <x:c r="AH52" s="22" t="str">
        <x:v>SEC Companyfacts</x:v>
      </x:c>
      <x:c r="AI52" s="24" t="str">
        <x:v>https://data.sec.gov/api/xbrl/companyfacts/CIK0001652044.json</x:v>
      </x:c>
      <x:c r="AJ52" s="24" t="str">
        <x:v>https://s206.q4cdn.com/479360582/files/doc_financials/2026/q1/2026q1-alphabet-earnings-release.pdf</x:v>
      </x:c>
      <x:c r="AK52" s="24" t="str">
        <x:v>Q1 2026 ended Mar 31 2026: revenue $109.896B, cost of revenues $41.271B, GAAP net income $62.578B; net income includes large equity securities gains</x:v>
      </x:c>
      <x:c r="AL52" s="24" t="str">
        <x:v>Google Search + GCP + Gemini 大模型 + TPU 自研芯片 + YouTube. AI 基础设施纵向一体化最深.</x:v>
      </x:c>
    </x:row>
    <x:row r="53">
      <x:c r="A53" s="22" t="str">
        <x:v>US</x:v>
      </x:c>
      <x:c r="B53" s="22" t="str">
        <x:v>AMZN</x:v>
      </x:c>
      <x:c r="C53" s="22" t="str">
        <x:v>Amazon</x:v>
      </x:c>
      <x:c r="D53" s="22" t="str">
        <x:v>hyperscaler</x:v>
      </x:c>
      <x:c r="E53" s="22" t="str">
        <x:v>电商/云</x:v>
      </x:c>
      <x:c r="F53" s="22" t="str">
        <x:v>Yes</x:v>
      </x:c>
      <x:c r="G53" s="22" t="str"/>
      <x:c r="H53" s="23" t="n">
        <x:v>8</x:v>
      </x:c>
      <x:c r="I53" s="23" t="n">
        <x:v>29300</x:v>
      </x:c>
      <x:c r="J53" s="23" t="n">
        <x:v>0.7</x:v>
      </x:c>
      <x:c r="K53" s="23" t="n">
        <x:v>-1.966112856372833</x:v>
      </x:c>
      <x:c r="L53" s="23" t="str">
        <x:v>2025Q1</x:v>
      </x:c>
      <x:c r="M53" s="23" t="n">
        <x:v>1556.7</x:v>
      </x:c>
      <x:c r="N53" s="23" t="str">
        <x:v>2026Q1</x:v>
      </x:c>
      <x:c r="O53" s="23" t="n">
        <x:v>1815.2</x:v>
      </x:c>
      <x:c r="P53" s="23" t="n">
        <x:v>16.605640136185528</x:v>
      </x:c>
      <x:c r="Q53" s="23" t="n">
        <x:v>51.82</x:v>
      </x:c>
      <x:c r="R53" s="23" t="n">
        <x:v>16.67</x:v>
      </x:c>
      <x:c r="S53" s="23" t="n">
        <x:v>16.67</x:v>
      </x:c>
      <x:c r="T53" s="23" t="n">
        <x:v>-2.1309546471937577</x:v>
      </x:c>
      <x:c r="U53" s="23" t="str">
        <x:v>历史加速 -5.8ppt / 前瞻 6.5ppt</x:v>
      </x:c>
      <x:c r="V53" s="23" t="n">
        <x:v>1965</x:v>
      </x:c>
      <x:c r="W53" s="23" t="str">
        <x:v>2026Q2</x:v>
      </x:c>
      <x:c r="X53" s="23" t="str">
        <x:v>F</x:v>
      </x:c>
      <x:c r="Y53" s="23" t="str">
        <x:v>Amazon official Q1 2026 earnings release</x:v>
      </x:c>
      <x:c r="Z53" s="23" t="n">
        <x:v>0.1</x:v>
      </x:c>
      <x:c r="AA53" s="23" t="n">
        <x:v>11.274774600350403</x:v>
      </x:c>
      <x:c r="AB53" s="23" t="n">
        <x:v>84.946</x:v>
      </x:c>
      <x:c r="AC53" s="23" t="n">
        <x:v>52.729</x:v>
      </x:c>
      <x:c r="AD53" s="23" t="n">
        <x:v>0.6207355260989335</x:v>
      </x:c>
      <x:c r="AE53" s="23" t="n">
        <x:v>32.217</x:v>
      </x:c>
      <x:c r="AF53" s="23" t="n">
        <x:v>4.44</x:v>
      </x:c>
      <x:c r="AG53" s="23" t="n">
        <x:v>17.974</x:v>
      </x:c>
      <x:c r="AH53" s="22" t="str">
        <x:v>SEC Companyfacts</x:v>
      </x:c>
      <x:c r="AI53" s="24" t="str">
        <x:v>https://data.sec.gov/api/xbrl/companyfacts/CIK0001018724.json</x:v>
      </x:c>
      <x:c r="AJ53" s="24" t="str">
        <x:v>https://ir.aboutamazon.com/news-release/news-release-details/2026/Amazon-com-Announces-First-Quarter-Results/default.aspx</x:v>
      </x:c>
      <x:c r="AK53" s="24" t="str">
        <x:v>Q1 2026 ended Mar 31 2026: net sales $181.519B, cost of sales $87.463B, GAAP net income $30.255B; net income includes non-operating income</x:v>
      </x:c>
      <x:c r="AL53" s="24" t="str">
        <x:v>AWS 全球最大云服务 + Trainium/Inferentia 自研 AI 芯片 + Anthropic 投资. AI 算力消费方核心.</x:v>
      </x:c>
    </x:row>
    <x:row r="54">
      <x:c r="A54" s="22" t="str">
        <x:v>US</x:v>
      </x:c>
      <x:c r="B54" s="22" t="str">
        <x:v>META</x:v>
      </x:c>
      <x:c r="C54" s="22" t="str">
        <x:v>Meta Platforms</x:v>
      </x:c>
      <x:c r="D54" s="22" t="str">
        <x:v>hyperscaler</x:v>
      </x:c>
      <x:c r="E54" s="22" t="str">
        <x:v>社交/AI 训练</x:v>
      </x:c>
      <x:c r="F54" s="22" t="str">
        <x:v>Yes</x:v>
      </x:c>
      <x:c r="G54" s="22" t="str"/>
      <x:c r="H54" s="23" t="n">
        <x:v>9</x:v>
      </x:c>
      <x:c r="I54" s="23" t="n">
        <x:v>15300</x:v>
      </x:c>
      <x:c r="J54" s="23" t="n">
        <x:v>0.7</x:v>
      </x:c>
      <x:c r="K54" s="23" t="n">
        <x:v>-1.966112856372833</x:v>
      </x:c>
      <x:c r="L54" s="23" t="str">
        <x:v>2025Q1</x:v>
      </x:c>
      <x:c r="M54" s="23" t="n">
        <x:v>423.1</x:v>
      </x:c>
      <x:c r="N54" s="23" t="str">
        <x:v>2026Q1</x:v>
      </x:c>
      <x:c r="O54" s="23" t="n">
        <x:v>563.1</x:v>
      </x:c>
      <x:c r="P54" s="23" t="n">
        <x:v>33.08910423067832</x:v>
      </x:c>
      <x:c r="Q54" s="23" t="n">
        <x:v>81.85</x:v>
      </x:c>
      <x:c r="R54" s="23" t="n">
        <x:v>47.54</x:v>
      </x:c>
      <x:c r="S54" s="23" t="n">
        <x:v>47.54</x:v>
      </x:c>
      <x:c r="T54" s="23" t="n">
        <x:v>-3.169490893691337</x:v>
      </x:c>
      <x:c r="U54" s="23" t="str">
        <x:v>历史加速 -4.6ppt / 前瞻 0.2ppt</x:v>
      </x:c>
      <x:c r="V54" s="23" t="n">
        <x:v>595</x:v>
      </x:c>
      <x:c r="W54" s="23" t="str">
        <x:v>2026Q2</x:v>
      </x:c>
      <x:c r="X54" s="23" t="str">
        <x:v>F</x:v>
      </x:c>
      <x:c r="Y54" s="23" t="str">
        <x:v>Meta official Q1 2026 earnings release / SEC 8-K Exhibit 99.1</x:v>
      </x:c>
      <x:c r="Z54" s="23" t="n">
        <x:v>0.1</x:v>
      </x:c>
      <x:c r="AA54" s="23" t="n">
        <x:v>11.885849346313304</x:v>
      </x:c>
      <x:c r="AB54" s="23" t="n">
        <x:v>71.113</x:v>
      </x:c>
      <x:c r="AC54" s="23" t="n">
        <x:v>27.045</x:v>
      </x:c>
      <x:c r="AD54" s="23" t="n">
        <x:v>0.38031021051003333</x:v>
      </x:c>
      <x:c r="AE54" s="23" t="n">
        <x:v>44.068</x:v>
      </x:c>
      <x:c r="AF54" s="23" t="n">
        <x:v>19.56</x:v>
      </x:c>
      <x:c r="AG54" s="23" t="n">
        <x:v>-0.076</x:v>
      </x:c>
      <x:c r="AH54" s="22" t="str">
        <x:v>SEC Companyfacts</x:v>
      </x:c>
      <x:c r="AI54" s="24" t="str">
        <x:v>https://data.sec.gov/api/xbrl/companyfacts/CIK0001326801.json</x:v>
      </x:c>
      <x:c r="AJ54" s="24" t="str">
        <x:v>https://www.sec.gov/Archives/edgar/data/1326801/000162828026028364/meta-03312026xexhibit991.htm</x:v>
      </x:c>
      <x:c r="AK54" s="24" t="str">
        <x:v>Q1 2026 ended Mar 31 2026: revenue $56.311B, cost of revenue $10.218B, GAAP net income $26.773B; net income includes income tax benefit</x:v>
      </x:c>
      <x:c r="AL54" s="24" t="str">
        <x:v>Llama 开源大模型 + MTIA 自研 AI 芯片 + 数十万张 H100 训练集群. AI 算力大买家.</x:v>
      </x:c>
    </x:row>
    <x:row r="55">
      <x:c r="A55" s="22" t="str">
        <x:v>US</x:v>
      </x:c>
      <x:c r="B55" s="22" t="str">
        <x:v>AAPL</x:v>
      </x:c>
      <x:c r="C55" s="22" t="str">
        <x:v>Apple</x:v>
      </x:c>
      <x:c r="D55" s="22" t="str">
        <x:v>hyperscaler</x:v>
      </x:c>
      <x:c r="E55" s="22" t="str">
        <x:v>硬件/Apple Intelligence</x:v>
      </x:c>
      <x:c r="F55" s="22" t="str">
        <x:v>Yes</x:v>
      </x:c>
      <x:c r="G55" s="22" t="str"/>
      <x:c r="H55" s="23" t="n">
        <x:v>6</x:v>
      </x:c>
      <x:c r="I55" s="23" t="n">
        <x:v>42910</x:v>
      </x:c>
      <x:c r="J55" s="23" t="n">
        <x:v>0.6</x:v>
      </x:c>
      <x:c r="K55" s="23" t="n">
        <x:v>-2.120263536200091</x:v>
      </x:c>
      <x:c r="L55" s="23" t="str">
        <x:v>2025Q1</x:v>
      </x:c>
      <x:c r="M55" s="23" t="n">
        <x:v>953.6</x:v>
      </x:c>
      <x:c r="N55" s="23" t="str">
        <x:v>2026Q1</x:v>
      </x:c>
      <x:c r="O55" s="23" t="n">
        <x:v>1111.8</x:v>
      </x:c>
      <x:c r="P55" s="23" t="n">
        <x:v>16.589765100671137</x:v>
      </x:c>
      <x:c r="Q55" s="23" t="n">
        <x:v>49.27</x:v>
      </x:c>
      <x:c r="R55" s="23" t="n">
        <x:v>26.6</x:v>
      </x:c>
      <x:c r="S55" s="23" t="n">
        <x:v>26.6</x:v>
      </x:c>
      <x:c r="T55" s="23" t="n">
        <x:v>31.817231055208758</x:v>
      </x:c>
      <x:c r="U55" s="23" t="str">
        <x:v>历史加速 31.8ppt / 无forecast不扣分</x:v>
      </x:c>
      <x:c r="V55" s="23"/>
      <x:c r="W55" s="23" t="str">
        <x:v>2026Q2</x:v>
      </x:c>
      <x:c r="X55" s="23" t="str">
        <x:v>F</x:v>
      </x:c>
      <x:c r="Y55" s="23" t="str">
        <x:v>Apple FY2026 Q2 earnings call / investor materials</x:v>
      </x:c>
      <x:c r="Z55" s="23" t="n">
        <x:v>0.1</x:v>
      </x:c>
      <x:c r="AA55" s="23" t="n">
        <x:v>13.280381158472238</x:v>
      </x:c>
      <x:c r="AB55" s="23" t="n">
        <x:v>110.543</x:v>
      </x:c>
      <x:c r="AC55" s="23" t="n">
        <x:v>10.959</x:v>
      </x:c>
      <x:c r="AD55" s="23" t="n">
        <x:v>0.09913789204201079</x:v>
      </x:c>
      <x:c r="AE55" s="23" t="n">
        <x:v>99.584</x:v>
      </x:c>
      <x:c r="AF55" s="23" t="n">
        <x:v>22.39</x:v>
      </x:c>
      <x:c r="AG55" s="23" t="n">
        <x:v>-54.766</x:v>
      </x:c>
      <x:c r="AH55" s="22" t="str">
        <x:v>SEC Companyfacts</x:v>
      </x:c>
      <x:c r="AI55" s="24" t="str">
        <x:v>https://data.sec.gov/api/xbrl/companyfacts/CIK0000320193.json</x:v>
      </x:c>
      <x:c r="AJ55" s="24" t="str">
        <x:v>https://www.sec.gov/Archives/edgar/data/320193/000032019326000013/0000320193-26-000013-index.html</x:v>
      </x:c>
      <x:c r="AK55" s="24" t="str">
        <x:v>SEC Companyfacts CY2026Q1: revenue $111.184B, gross profit $54.781B, net income $29.578B</x:v>
      </x:c>
      <x:c r="AL55" s="24" t="str">
        <x:v>Apple Intelligence 端侧 AI + 自研 M 系列芯片. AI 落地终端市场最大平台.</x:v>
      </x:c>
    </x:row>
    <x:row r="56">
      <x:c r="A56" s="22" t="str">
        <x:v>US</x:v>
      </x:c>
      <x:c r="B56" s="22" t="str">
        <x:v>TSLA</x:v>
      </x:c>
      <x:c r="C56" s="22" t="str">
        <x:v>Tesla</x:v>
      </x:c>
      <x:c r="D56" s="22" t="str">
        <x:v>hyperscaler</x:v>
      </x:c>
      <x:c r="E56" s="22" t="str">
        <x:v>电车/AI</x:v>
      </x:c>
      <x:c r="F56" s="22" t="str">
        <x:v>Yes</x:v>
      </x:c>
      <x:c r="G56" s="22" t="str"/>
      <x:c r="H56" s="23" t="n">
        <x:v>6</x:v>
      </x:c>
      <x:c r="I56" s="23" t="n">
        <x:v>16520</x:v>
      </x:c>
      <x:c r="J56" s="23" t="n">
        <x:v>3.5</x:v>
      </x:c>
      <x:c r="K56" s="23" t="n">
        <x:v>-0.35667494393873245</x:v>
      </x:c>
      <x:c r="L56" s="23" t="str">
        <x:v>2025Q1</x:v>
      </x:c>
      <x:c r="M56" s="23" t="n">
        <x:v>193.3</x:v>
      </x:c>
      <x:c r="N56" s="23" t="str">
        <x:v>2026Q1</x:v>
      </x:c>
      <x:c r="O56" s="23" t="n">
        <x:v>223.9</x:v>
      </x:c>
      <x:c r="P56" s="23" t="n">
        <x:v>15.830315571650289</x:v>
      </x:c>
      <x:c r="Q56" s="23" t="n">
        <x:v>21.08</x:v>
      </x:c>
      <x:c r="R56" s="23" t="n">
        <x:v>2.13</x:v>
      </x:c>
      <x:c r="S56" s="23" t="n">
        <x:v>2.13</x:v>
      </x:c>
      <x:c r="T56" s="23" t="n">
        <x:v>-31.340249753738796</x:v>
      </x:c>
      <x:c r="U56" s="23" t="str">
        <x:v>历史加速 -31.3ppt / 无forecast不扣分</x:v>
      </x:c>
      <x:c r="V56" s="23"/>
      <x:c r="W56" s="23" t="str">
        <x:v>2026Q2</x:v>
      </x:c>
      <x:c r="X56" s="23" t="str">
        <x:v>NA</x:v>
      </x:c>
      <x:c r="Y56" s="23" t="str">
        <x:v>No official company financial guidance; Tesla IR has company-compiled analyst consensus only</x:v>
      </x:c>
      <x:c r="Z56" s="23" t="n">
        <x:v>0.1</x:v>
      </x:c>
      <x:c r="AA56" s="23" t="n">
        <x:v>10.40671012709981</x:v>
      </x:c>
      <x:c r="AB56" s="23" t="n">
        <x:v>13.256</x:v>
      </x:c>
      <x:c r="AC56" s="23" t="n">
        <x:v>8.899</x:v>
      </x:c>
      <x:c r="AD56" s="23" t="n">
        <x:v>0.671318648159324</x:v>
      </x:c>
      <x:c r="AE56" s="23" t="n">
        <x:v>4.357</x:v>
      </x:c>
      <x:c r="AF56" s="23" t="n">
        <x:v>4.86</x:v>
      </x:c>
      <x:c r="AG56" s="23" t="n">
        <x:v>9.555</x:v>
      </x:c>
      <x:c r="AH56" s="22" t="str">
        <x:v>SEC Companyfacts</x:v>
      </x:c>
      <x:c r="AI56" s="24" t="str">
        <x:v>https://data.sec.gov/api/xbrl/companyfacts/CIK0001318605.json</x:v>
      </x:c>
      <x:c r="AJ56" s="24" t="str">
        <x:v>https://www.sec.gov/Archives/edgar/data/1318605/000162828026026673/0001628280-26-026673-index.html</x:v>
      </x:c>
      <x:c r="AK56" s="24" t="str">
        <x:v>SEC Companyfacts CY2026Q1: revenue $22.387B, gross profit $4.720B, net income $0.477B</x:v>
      </x:c>
      <x:c r="AL56" s="24" t="str">
        <x:v>Dojo 自研训练芯片 + FSD 自动驾驶 + Optimus 机器人. AI 训练算力大户.</x:v>
      </x:c>
    </x:row>
    <x:row r="57">
      <x:c r="A57" s="22" t="str">
        <x:v>US</x:v>
      </x:c>
      <x:c r="B57" s="22" t="str">
        <x:v>CRWV</x:v>
      </x:c>
      <x:c r="C57" s="22" t="str">
        <x:v>CoreWeave</x:v>
      </x:c>
      <x:c r="D57" s="22" t="str">
        <x:v>hyperscaler</x:v>
      </x:c>
      <x:c r="E57" s="22" t="str">
        <x:v>AI 云</x:v>
      </x:c>
      <x:c r="F57" s="22" t="str">
        <x:v>Yes</x:v>
      </x:c>
      <x:c r="G57" s="22" t="str"/>
      <x:c r="H57" s="23" t="n">
        <x:v>7</x:v>
      </x:c>
      <x:c r="I57" s="23" t="n">
        <x:v>427</x:v>
      </x:c>
      <x:c r="J57" s="23" t="n">
        <x:v>8</x:v>
      </x:c>
      <x:c r="K57" s="23" t="n">
        <x:v>-0.4700036292457356</x:v>
      </x:c>
      <x:c r="L57" s="23" t="str">
        <x:v>2025Q1</x:v>
      </x:c>
      <x:c r="M57" s="23" t="n">
        <x:v>9.8</x:v>
      </x:c>
      <x:c r="N57" s="23" t="str">
        <x:v>2026Q1</x:v>
      </x:c>
      <x:c r="O57" s="23" t="n">
        <x:v>20.8</x:v>
      </x:c>
      <x:c r="P57" s="23" t="n">
        <x:v>112.24489795918369</x:v>
      </x:c>
      <x:c r="Q57" s="23" t="n">
        <x:v>65.54</x:v>
      </x:c>
      <x:c r="R57" s="23" t="n">
        <x:v>-35.61</x:v>
      </x:c>
      <x:c r="S57" s="23" t="n">
        <x:v>-30</x:v>
      </x:c>
      <x:c r="T57" s="23" t="n">
        <x:v>3.450191122018758</x:v>
      </x:c>
      <x:c r="U57" s="23" t="str">
        <x:v>历史加速 6.0ppt / 前瞻 -2.6ppt</x:v>
      </x:c>
      <x:c r="V57" s="23" t="n">
        <x:v>25.25</x:v>
      </x:c>
      <x:c r="W57" s="23" t="str">
        <x:v>2026Q2</x:v>
      </x:c>
      <x:c r="X57" s="23" t="str">
        <x:v>F</x:v>
      </x:c>
      <x:c r="Y57" s="23" t="str">
        <x:v>CoreWeave official Q1 2026 results</x:v>
      </x:c>
      <x:c r="Z57" s="23" t="n">
        <x:v>0.1</x:v>
      </x:c>
      <x:c r="AA57" s="23" t="n">
        <x:v>4.749584013228625</x:v>
      </x:c>
      <x:c r="AB57" s="23" t="n">
        <x:v>1.833</x:v>
      </x:c>
      <x:c r="AC57" s="23" t="n">
        <x:v>2.943</x:v>
      </x:c>
      <x:c r="AD57" s="23" t="n">
        <x:v>1.6055646481178396</x:v>
      </x:c>
      <x:c r="AE57" s="23" t="n">
        <x:v>-1.11</x:v>
      </x:c>
      <x:c r="AF57" s="23" t="n">
        <x:v>-13.34</x:v>
      </x:c>
      <x:c r="AG57" s="23" t="n">
        <x:v>-20.097</x:v>
      </x:c>
      <x:c r="AH57" s="22" t="str">
        <x:v>SEC Companyfacts</x:v>
      </x:c>
      <x:c r="AI57" s="24" t="str">
        <x:v>https://data.sec.gov/api/xbrl/companyfacts/CIK0001769628.json</x:v>
      </x:c>
      <x:c r="AJ57" s="24" t="str">
        <x:v>https://www.sec.gov/Archives/edgar/data/1769628/000176962826000222/0001769628-26-000222-index.html</x:v>
      </x:c>
      <x:c r="AK57" s="24" t="str">
        <x:v>SEC Companyfacts CY2026Q1: revenue $2.078B, gross profit $1.362B (revenue minus CostOfGoodsAndServicesSold $0.716B), net income $-0.740B</x:v>
      </x:c>
      <x:c r="AL57" s="24" t="str">
        <x:v>GPU 云服务 (Nvidia 战略客户), AI 训练专用云. 2025 年 IPO, 短期波动大但 AI 算力出租纯标的.</x:v>
      </x:c>
    </x:row>
    <x:row r="58">
      <x:c r="A58" s="22" t="str">
        <x:v>US</x:v>
      </x:c>
      <x:c r="B58" s="22" t="str">
        <x:v>CEG</x:v>
      </x:c>
      <x:c r="C58" s="22" t="str">
        <x:v>Constellation Energy</x:v>
      </x:c>
      <x:c r="D58" s="22" t="str">
        <x:v>power</x:v>
      </x:c>
      <x:c r="E58" s="22" t="str">
        <x:v>核电</x:v>
      </x:c>
      <x:c r="F58" s="22" t="str">
        <x:v>Yes</x:v>
      </x:c>
      <x:c r="G58" s="22" t="str"/>
      <x:c r="H58" s="23" t="n">
        <x:v>9</x:v>
      </x:c>
      <x:c r="I58" s="23" t="n">
        <x:v>1073</x:v>
      </x:c>
      <x:c r="J58" s="23" t="n">
        <x:v>2</x:v>
      </x:c>
      <x:c r="K58" s="23" t="n">
        <x:v>-0.916290731874155</x:v>
      </x:c>
      <x:c r="L58" s="23" t="str">
        <x:v>2025Q1</x:v>
      </x:c>
      <x:c r="M58" s="23" t="n">
        <x:v>67.9</x:v>
      </x:c>
      <x:c r="N58" s="23" t="str">
        <x:v>2026Q1</x:v>
      </x:c>
      <x:c r="O58" s="23" t="n">
        <x:v>111.2</x:v>
      </x:c>
      <x:c r="P58" s="23" t="n">
        <x:v>63.770250368188506</x:v>
      </x:c>
      <x:c r="Q58" s="23" t="n">
        <x:v>42.89</x:v>
      </x:c>
      <x:c r="R58" s="23" t="n">
        <x:v>14.41</x:v>
      </x:c>
      <x:c r="S58" s="23" t="n">
        <x:v>14.41</x:v>
      </x:c>
      <x:c r="T58" s="23" t="n">
        <x:v>39.02139048255927</x:v>
      </x:c>
      <x:c r="U58" s="23" t="str">
        <x:v>历史加速 39.0ppt / 无forecast不扣分</x:v>
      </x:c>
      <x:c r="V58" s="23"/>
      <x:c r="W58" s="23" t="str">
        <x:v>2026Q2</x:v>
      </x:c>
      <x:c r="X58" s="23" t="str">
        <x:v>NA</x:v>
      </x:c>
      <x:c r="Y58" s="23" t="str">
        <x:v>没有季度级官方 forecast</x:v>
      </x:c>
      <x:c r="Z58" s="23" t="n">
        <x:v>0.25</x:v>
      </x:c>
      <x:c r="AA58" s="23" t="n">
        <x:v>5.558340117281212</x:v>
      </x:c>
      <x:c r="AB58" s="23" t="n">
        <x:v>-5.301</x:v>
      </x:c>
      <x:c r="AC58" s="23" t="n">
        <x:v>2.422</x:v>
      </x:c>
      <x:c r="AD58" s="23"/>
      <x:c r="AE58" s="23" t="n">
        <x:v>-7.723</x:v>
      </x:c>
      <x:c r="AF58" s="23" t="n">
        <x:v>-17.36</x:v>
      </x:c>
      <x:c r="AG58" s="23" t="n">
        <x:v>-5.557</x:v>
      </x:c>
      <x:c r="AH58" s="22" t="str">
        <x:v>SEC Companyfacts</x:v>
      </x:c>
      <x:c r="AI58" s="24" t="str">
        <x:v>https://data.sec.gov/api/xbrl/companyfacts/CIK0001868275.json</x:v>
      </x:c>
      <x:c r="AJ58" s="24" t="str">
        <x:v>https://www.sec.gov/Archives/edgar/data/1868275/000186827526000067/0001868275-26-000067-index.html</x:v>
      </x:c>
      <x:c r="AK58" s="24" t="str">
        <x:v>CEG IR/SEC CY2026Q1: revenue $11.122B, gross profit $4.770B (revenue minus cost of revenue / purchased power and fuel $6.352B), net income $1.603B</x:v>
      </x:c>
      <x:c r="AL58" s="24" t="str">
        <x:v>美国最大核电运营商, 与微软签订 20 年 PPA 协议给 AI 数据中心供电. AI 用电核心标的.</x:v>
      </x:c>
    </x:row>
    <x:row r="59">
      <x:c r="A59" s="22" t="str">
        <x:v>US</x:v>
      </x:c>
      <x:c r="B59" s="22" t="str">
        <x:v>VRT</x:v>
      </x:c>
      <x:c r="C59" s="22" t="str">
        <x:v>Vertiv</x:v>
      </x:c>
      <x:c r="D59" s="22" t="str">
        <x:v>dc_infra</x:v>
      </x:c>
      <x:c r="E59" s="22" t="str">
        <x:v>数据中心基础设施</x:v>
      </x:c>
      <x:c r="F59" s="22" t="str">
        <x:v>Yes</x:v>
      </x:c>
      <x:c r="G59" s="22" t="str"/>
      <x:c r="H59" s="23" t="n">
        <x:v>8</x:v>
      </x:c>
      <x:c r="I59" s="23" t="n">
        <x:v>1129</x:v>
      </x:c>
      <x:c r="J59" s="23" t="n">
        <x:v>3.5</x:v>
      </x:c>
      <x:c r="K59" s="23" t="n">
        <x:v>-0.35667494393873245</x:v>
      </x:c>
      <x:c r="L59" s="23" t="str">
        <x:v>2025Q1</x:v>
      </x:c>
      <x:c r="M59" s="23" t="n">
        <x:v>20.4</x:v>
      </x:c>
      <x:c r="N59" s="23" t="str">
        <x:v>2026Q1</x:v>
      </x:c>
      <x:c r="O59" s="23" t="n">
        <x:v>26.5</x:v>
      </x:c>
      <x:c r="P59" s="23" t="n">
        <x:v>29.90196078431373</x:v>
      </x:c>
      <x:c r="Q59" s="23" t="n">
        <x:v>37.73</x:v>
      </x:c>
      <x:c r="R59" s="23" t="n">
        <x:v>14.72</x:v>
      </x:c>
      <x:c r="S59" s="23" t="n">
        <x:v>14.72</x:v>
      </x:c>
      <x:c r="T59" s="23" t="n">
        <x:v>-15.725170382490404</x:v>
      </x:c>
      <x:c r="U59" s="23" t="str">
        <x:v>历史加速 -15.7ppt / 无forecast不扣分</x:v>
      </x:c>
      <x:c r="V59" s="23"/>
      <x:c r="W59" s="23" t="str">
        <x:v>2026Q2</x:v>
      </x:c>
      <x:c r="X59" s="23" t="str">
        <x:v>NA</x:v>
      </x:c>
      <x:c r="Y59" s="23" t="str">
        <x:v>没有季度级官方 forecast</x:v>
      </x:c>
      <x:c r="Z59" s="23" t="n">
        <x:v>0.2</x:v>
      </x:c>
      <x:c r="AA59" s="23" t="n">
        <x:v>7.709071100523134</x:v>
      </x:c>
      <x:c r="AB59" s="23" t="n">
        <x:v>0.9</x:v>
      </x:c>
      <x:c r="AC59" s="23" t="n">
        <x:v>0.128</x:v>
      </x:c>
      <x:c r="AD59" s="23" t="n">
        <x:v>0.14222222222222222</x:v>
      </x:c>
      <x:c r="AE59" s="23" t="n">
        <x:v>0.773</x:v>
      </x:c>
      <x:c r="AF59" s="23" t="n">
        <x:v>7.29</x:v>
      </x:c>
      <x:c r="AG59" s="23" t="n">
        <x:v>-1.185</x:v>
      </x:c>
      <x:c r="AH59" s="22" t="str">
        <x:v>SEC Companyfacts</x:v>
      </x:c>
      <x:c r="AI59" s="24" t="str">
        <x:v>https://data.sec.gov/api/xbrl/companyfacts/CIK0001674101.json</x:v>
      </x:c>
      <x:c r="AJ59" s="24" t="str">
        <x:v>https://www.sec.gov/Archives/edgar/data/1674101/000162828026026556/0001628280-26-026556-index.html</x:v>
      </x:c>
      <x:c r="AK59" s="24" t="str">
        <x:v>SEC Companyfacts CY2026Q1: revenue $2.650B, gross profit $1.000B (revenue minus CostOfGoodsAndServicesSold $1.650B), net income $0.390B</x:v>
      </x:c>
      <x:c r="AL59" s="24" t="str">
        <x:v>数据中心电力/液冷/UPS 全栈方案商, AI 数据中心扩张核心受益. 液冷渗透率提升直接利好.</x:v>
      </x:c>
    </x:row>
    <x:row r="60">
      <x:c r="A60" s="22" t="str">
        <x:v>US</x:v>
      </x:c>
      <x:c r="B60" s="22" t="str">
        <x:v>ETN</x:v>
      </x:c>
      <x:c r="C60" s="22" t="str">
        <x:v>Eaton</x:v>
      </x:c>
      <x:c r="D60" s="22" t="str">
        <x:v>dc_infra</x:v>
      </x:c>
      <x:c r="E60" s="22" t="str">
        <x:v>电力管理</x:v>
      </x:c>
      <x:c r="F60" s="22" t="str">
        <x:v>Yes</x:v>
      </x:c>
      <x:c r="G60" s="22" t="str"/>
      <x:c r="H60" s="23" t="n">
        <x:v>8</x:v>
      </x:c>
      <x:c r="I60" s="23" t="n">
        <x:v>1681</x:v>
      </x:c>
      <x:c r="J60" s="23" t="n">
        <x:v>1.5</x:v>
      </x:c>
      <x:c r="K60" s="23" t="n">
        <x:v>-1.2039728043259361</x:v>
      </x:c>
      <x:c r="L60" s="23" t="str">
        <x:v>2025Q1</x:v>
      </x:c>
      <x:c r="M60" s="23" t="n">
        <x:v>63.8</x:v>
      </x:c>
      <x:c r="N60" s="23" t="str">
        <x:v>2026Q1</x:v>
      </x:c>
      <x:c r="O60" s="23" t="n">
        <x:v>74.5</x:v>
      </x:c>
      <x:c r="P60" s="23" t="n">
        <x:v>16.771159874608156</x:v>
      </x:c>
      <x:c r="Q60" s="23" t="n">
        <x:v>35.59</x:v>
      </x:c>
      <x:c r="R60" s="23" t="n">
        <x:v>11.65</x:v>
      </x:c>
      <x:c r="S60" s="23" t="n">
        <x:v>11.65</x:v>
      </x:c>
      <x:c r="T60" s="23" t="n">
        <x:v>-1.5434848838298767</x:v>
      </x:c>
      <x:c r="U60" s="23" t="str">
        <x:v>历史加速 -1.5ppt / 无forecast不扣分</x:v>
      </x:c>
      <x:c r="V60" s="23"/>
      <x:c r="W60" s="23" t="str">
        <x:v>2026Q2</x:v>
      </x:c>
      <x:c r="X60" s="23" t="str">
        <x:v>NA</x:v>
      </x:c>
      <x:c r="Y60" s="23" t="str">
        <x:v>没有季度级官方 forecast</x:v>
      </x:c>
      <x:c r="Z60" s="23" t="n">
        <x:v>0.2</x:v>
      </x:c>
      <x:c r="AA60" s="23" t="n">
        <x:v>8.407095769125522</x:v>
      </x:c>
      <x:c r="AB60" s="23" t="n">
        <x:v>3.624</x:v>
      </x:c>
      <x:c r="AC60" s="23" t="n">
        <x:v>0.757</x:v>
      </x:c>
      <x:c r="AD60" s="23" t="n">
        <x:v>0.20888520971302427</x:v>
      </x:c>
      <x:c r="AE60" s="23" t="n">
        <x:v>2.867</x:v>
      </x:c>
      <x:c r="AF60" s="23" t="n">
        <x:v>9.62</x:v>
      </x:c>
      <x:c r="AG60" s="23" t="n">
        <x:v>-9.272</x:v>
      </x:c>
      <x:c r="AH60" s="22" t="str">
        <x:v>SEC Companyfacts</x:v>
      </x:c>
      <x:c r="AI60" s="24" t="str">
        <x:v>https://data.sec.gov/api/xbrl/companyfacts/CIK0001551182.json</x:v>
      </x:c>
      <x:c r="AJ60" s="24" t="str">
        <x:v>https://www.sec.gov/Archives/edgar/data/1551182/000155118226000013/0001551182-26-000013-index.html</x:v>
      </x:c>
      <x:c r="AK60" s="24" t="str">
        <x:v>SEC Companyfacts CY2026Q1: revenue $7.451B, gross profit $2.652B (revenue minus CostOfRevenue $4.799B), net income $0.868B</x:v>
      </x:c>
      <x:c r="AL60" s="24" t="str">
        <x:v>工业电力管理龙头, 数据中心配电/UPS 系统. 全球电网升级 + AI 用电增长双重受益.</x:v>
      </x:c>
    </x:row>
    <x:row r="61">
      <x:c r="A61" s="22" t="str">
        <x:v>US</x:v>
      </x:c>
      <x:c r="B61" s="22" t="str">
        <x:v>GEV</x:v>
      </x:c>
      <x:c r="C61" s="22" t="str">
        <x:v>GE Vernova</x:v>
      </x:c>
      <x:c r="D61" s="22" t="str">
        <x:v>power</x:v>
      </x:c>
      <x:c r="E61" s="22" t="str">
        <x:v>电力设备</x:v>
      </x:c>
      <x:c r="F61" s="22" t="str">
        <x:v>Yes</x:v>
      </x:c>
      <x:c r="G61" s="22" t="str"/>
      <x:c r="H61" s="23" t="n">
        <x:v>7</x:v>
      </x:c>
      <x:c r="I61" s="23" t="n">
        <x:v>2903</x:v>
      </x:c>
      <x:c r="J61" s="23" t="n">
        <x:v>2.5</x:v>
      </x:c>
      <x:c r="K61" s="23" t="n">
        <x:v>-0.6931471805599453</x:v>
      </x:c>
      <x:c r="L61" s="23" t="str">
        <x:v>2025Q1</x:v>
      </x:c>
      <x:c r="M61" s="23" t="n">
        <x:v>80.3</x:v>
      </x:c>
      <x:c r="N61" s="23" t="str">
        <x:v>2026Q1</x:v>
      </x:c>
      <x:c r="O61" s="23" t="n">
        <x:v>93.4</x:v>
      </x:c>
      <x:c r="P61" s="23" t="n">
        <x:v>16.313823163138252</x:v>
      </x:c>
      <x:c r="Q61" s="23" t="n">
        <x:v>19.07</x:v>
      </x:c>
      <x:c r="R61" s="23" t="n">
        <x:v>50.81</x:v>
      </x:c>
      <x:c r="S61" s="23" t="n">
        <x:v>50.81</x:v>
      </x:c>
      <x:c r="T61" s="23" t="n">
        <x:v>-13.870486147688032</x:v>
      </x:c>
      <x:c r="U61" s="23" t="str">
        <x:v>历史加速 -13.9ppt / 无forecast不扣分</x:v>
      </x:c>
      <x:c r="V61" s="23"/>
      <x:c r="W61" s="23" t="str">
        <x:v>2026Q2</x:v>
      </x:c>
      <x:c r="X61" s="23" t="str">
        <x:v>NA</x:v>
      </x:c>
      <x:c r="Y61" s="23" t="str">
        <x:v>没有季度级官方 forecast</x:v>
      </x:c>
      <x:c r="Z61" s="23" t="n">
        <x:v>0.25</x:v>
      </x:c>
      <x:c r="AA61" s="23" t="n">
        <x:v>8.133785551019926</x:v>
      </x:c>
      <x:c r="AB61" s="23" t="n">
        <x:v>1.186</x:v>
      </x:c>
      <x:c r="AC61" s="23" t="n">
        <x:v>0.744</x:v>
      </x:c>
      <x:c r="AD61" s="23" t="n">
        <x:v>0.627318718381113</x:v>
      </x:c>
      <x:c r="AE61" s="23" t="n">
        <x:v>0.442</x:v>
      </x:c>
      <x:c r="AF61" s="23" t="n">
        <x:v>1.18</x:v>
      </x:c>
      <x:c r="AG61" s="23"/>
      <x:c r="AH61" s="22" t="str">
        <x:v>SEC Companyfacts</x:v>
      </x:c>
      <x:c r="AI61" s="24" t="str">
        <x:v>https://data.sec.gov/api/xbrl/companyfacts/CIK0001996810.json</x:v>
      </x:c>
      <x:c r="AJ61" s="24" t="str">
        <x:v>https://www.sec.gov/Archives/edgar/data/1996810/000199681026000064/0001996810-26-000064-index.html</x:v>
      </x:c>
      <x:c r="AK61" s="24" t="str">
        <x:v>SEC Companyfacts CY2026Q1: revenue $9.339B, gross profit $1.781B, net income $4.745B</x:v>
      </x:c>
      <x:c r="AL61" s="24" t="str">
        <x:v>GE 拆分的电力业务 (天然气轮机/风电/电网), AI 用电需求驱动燃气发电复兴. 2024 年单独上市.</x:v>
      </x:c>
    </x:row>
    <x:row r="62">
      <x:c r="A62" s="22" t="str">
        <x:v>US</x:v>
      </x:c>
      <x:c r="B62" s="22" t="str">
        <x:v>CCJ</x:v>
      </x:c>
      <x:c r="C62" s="22" t="str">
        <x:v>Cameco</x:v>
      </x:c>
      <x:c r="D62" s="22" t="str">
        <x:v>power</x:v>
      </x:c>
      <x:c r="E62" s="22" t="str">
        <x:v>铀矿</x:v>
      </x:c>
      <x:c r="F62" s="22" t="str">
        <x:v>Yes</x:v>
      </x:c>
      <x:c r="G62" s="22" t="str"/>
      <x:c r="H62" s="23" t="n">
        <x:v>6</x:v>
      </x:c>
      <x:c r="I62" s="23" t="n">
        <x:v>508</x:v>
      </x:c>
      <x:c r="J62" s="23" t="n">
        <x:v>3</x:v>
      </x:c>
      <x:c r="K62" s="23" t="n">
        <x:v>-0.5108256237659907</x:v>
      </x:c>
      <x:c r="L62" s="23" t="str">
        <x:v>2025Q1</x:v>
      </x:c>
      <x:c r="M62" s="23" t="n">
        <x:v>5.5</x:v>
      </x:c>
      <x:c r="N62" s="23" t="str">
        <x:v>2026Q1</x:v>
      </x:c>
      <x:c r="O62" s="23" t="n">
        <x:v>6</x:v>
      </x:c>
      <x:c r="P62" s="23" t="n">
        <x:v>9.090909090909083</x:v>
      </x:c>
      <x:c r="Q62" s="23" t="n">
        <x:v>35.74</x:v>
      </x:c>
      <x:c r="R62" s="23" t="n">
        <x:v>15.5</x:v>
      </x:c>
      <x:c r="S62" s="23" t="n">
        <x:v>15.5</x:v>
      </x:c>
      <x:c r="T62" s="23" t="n">
        <x:v>37.45226349877512</x:v>
      </x:c>
      <x:c r="U62" s="23" t="str">
        <x:v>历史加速 37.5ppt / 无forecast不扣分</x:v>
      </x:c>
      <x:c r="V62" s="23"/>
      <x:c r="W62" s="23" t="str">
        <x:v>2026Q2</x:v>
      </x:c>
      <x:c r="X62" s="23" t="str">
        <x:v>NA</x:v>
      </x:c>
      <x:c r="Y62" s="23" t="str">
        <x:v>没有季度级官方 forecast</x:v>
      </x:c>
      <x:c r="Z62" s="23" t="n">
        <x:v>0.6</x:v>
      </x:c>
      <x:c r="AA62" s="23" t="n">
        <x:v>7.964945127020165</x:v>
      </x:c>
      <x:c r="AB62" s="23" t="n">
        <x:v>0.651</x:v>
      </x:c>
      <x:c r="AC62" s="23" t="n">
        <x:v>0.152</x:v>
      </x:c>
      <x:c r="AD62" s="23" t="n">
        <x:v>0.2334869431643625</x:v>
      </x:c>
      <x:c r="AE62" s="23" t="n">
        <x:v>0.499</x:v>
      </x:c>
      <x:c r="AF62" s="23" t="n">
        <x:v>20.77</x:v>
      </x:c>
      <x:c r="AG62" s="23"/>
      <x:c r="AH62" s="22" t="str">
        <x:v>SEC Companyfacts</x:v>
      </x:c>
      <x:c r="AI62" s="24" t="str">
        <x:v>https://data.sec.gov/api/xbrl/companyfacts/CIK0001009001.json</x:v>
      </x:c>
      <x:c r="AJ62" s="24" t="str">
        <x:v>https://www.cameco.com/invest/financial-information/quarterly-reports/2026/q1</x:v>
      </x:c>
      <x:c r="AK62" s="24" t="str">
        <x:v>Cameco Q1 2026 official quarterly report: revenue C$845M, gross profit C$302M, net earnings attributable to equity holders C$131M; converted to USD at CAD/USD 0.712 for display.</x:v>
      </x:c>
      <x:c r="AL62" s="24" t="str">
        <x:v>全球最大铀矿商, 核电复兴的最直接受益. AI 数据中心驱动核电需求 → 铀价中枢上移.</x:v>
      </x:c>
    </x:row>
    <x:row r="63">
      <x:c r="A63" s="22" t="str">
        <x:v>US</x:v>
      </x:c>
      <x:c r="B63" s="22" t="str">
        <x:v>SMH</x:v>
      </x:c>
      <x:c r="C63" s="22" t="str">
        <x:v>VanEck Semiconductor ETF</x:v>
      </x:c>
      <x:c r="D63" s="22" t="str">
        <x:v>etf</x:v>
      </x:c>
      <x:c r="E63" s="22" t="str">
        <x:v>半导体 ETF</x:v>
      </x:c>
      <x:c r="F63" s="22" t="str">
        <x:v>No</x:v>
      </x:c>
      <x:c r="G63" s="22" t="str">
        <x:v>No quarterly financial data / ETF or watch-only</x:v>
      </x:c>
      <x:c r="H63" s="23" t="n">
        <x:v>8</x:v>
      </x:c>
      <x:c r="I63" s="23" t="n">
        <x:v>300</x:v>
      </x:c>
      <x:c r="J63" s="23" t="n">
        <x:v>0.8</x:v>
      </x:c>
      <x:c r="K63" s="23" t="n">
        <x:v>-1.8325814637483102</x:v>
      </x:c>
      <x:c r="L63" s="23" t="str"/>
      <x:c r="M63" s="23"/>
      <x:c r="N63" s="23" t="str"/>
      <x:c r="O63" s="23"/>
      <x:c r="P63" s="23"/>
      <x:c r="Q63" s="23"/>
      <x:c r="R63" s="23"/>
      <x:c r="S63" s="23"/>
      <x:c r="T63" s="23"/>
      <x:c r="U63" s="23" t="str">
        <x:v>历史不足</x:v>
      </x:c>
      <x:c r="V63" s="23"/>
      <x:c r="W63" s="23" t="str"/>
      <x:c r="X63" s="23" t="str"/>
      <x:c r="Y63" s="23" t="str"/>
      <x:c r="Z63" s="23" t="n">
        <x:v>0.2</x:v>
      </x:c>
      <x:c r="AA63" s="23" t="n">
        <x:v>5.703782474656201</x:v>
      </x:c>
      <x:c r="AB63" s="23"/>
      <x:c r="AC63" s="23"/>
      <x:c r="AD63" s="23"/>
      <x:c r="AE63" s="23"/>
      <x:c r="AF63" s="23"/>
      <x:c r="AG63" s="23"/>
      <x:c r="AH63" s="22" t="str"/>
      <x:c r="AI63" s="24" t="str"/>
      <x:c r="AJ63" s="24" t="str"/>
      <x:c r="AK63" s="24" t="str"/>
      <x:c r="AL63" s="24" t="str">
        <x:v>半导体板块 ETF, 头部权重 NVDA/TSM/AVGO/AMD. 想分散持有 AI 算力主线一篮子用此.</x:v>
      </x:c>
    </x:row>
    <x:row r="64">
      <x:c r="A64" s="22" t="str">
        <x:v>US</x:v>
      </x:c>
      <x:c r="B64" s="22" t="str">
        <x:v>XLU</x:v>
      </x:c>
      <x:c r="C64" s="22" t="str">
        <x:v>Utilities Select Sector SPDR</x:v>
      </x:c>
      <x:c r="D64" s="22" t="str">
        <x:v>etf</x:v>
      </x:c>
      <x:c r="E64" s="22" t="str">
        <x:v>公用事业 ETF</x:v>
      </x:c>
      <x:c r="F64" s="22" t="str">
        <x:v>No</x:v>
      </x:c>
      <x:c r="G64" s="22" t="str">
        <x:v>No quarterly financial data / ETF or watch-only</x:v>
      </x:c>
      <x:c r="H64" s="23" t="n">
        <x:v>7</x:v>
      </x:c>
      <x:c r="I64" s="23" t="n">
        <x:v>200</x:v>
      </x:c>
      <x:c r="J64" s="23" t="n">
        <x:v>1.2</x:v>
      </x:c>
      <x:c r="K64" s="23" t="n">
        <x:v>-1.4271163556401458</x:v>
      </x:c>
      <x:c r="L64" s="23" t="str"/>
      <x:c r="M64" s="23"/>
      <x:c r="N64" s="23" t="str"/>
      <x:c r="O64" s="23"/>
      <x:c r="P64" s="23"/>
      <x:c r="Q64" s="23"/>
      <x:c r="R64" s="23"/>
      <x:c r="S64" s="23"/>
      <x:c r="T64" s="23"/>
      <x:c r="U64" s="23" t="str">
        <x:v>历史不足</x:v>
      </x:c>
      <x:c r="V64" s="23"/>
      <x:c r="W64" s="23" t="str"/>
      <x:c r="X64" s="23" t="str"/>
      <x:c r="Y64" s="23" t="str"/>
      <x:c r="Z64" s="23" t="n">
        <x:v>0.2</x:v>
      </x:c>
      <x:c r="AA64" s="23" t="n">
        <x:v>5.298317366548036</x:v>
      </x:c>
      <x:c r="AB64" s="23"/>
      <x:c r="AC64" s="23"/>
      <x:c r="AD64" s="23"/>
      <x:c r="AE64" s="23"/>
      <x:c r="AF64" s="23"/>
      <x:c r="AG64" s="23"/>
      <x:c r="AH64" s="22" t="str"/>
      <x:c r="AI64" s="24" t="str"/>
      <x:c r="AJ64" s="24" t="str"/>
      <x:c r="AK64" s="24" t="str"/>
      <x:c r="AL64" s="24" t="str">
        <x:v>美国公用事业 ETF, AI 用电需求驱动公用股估值重估. 包含 NEE/SO/DUK 等电力龙头.</x:v>
      </x:c>
    </x:row>
    <x:row r="65">
      <x:c r="A65" s="22" t="str">
        <x:v>US</x:v>
      </x:c>
      <x:c r="B65" s="22" t="str">
        <x:v>COPX</x:v>
      </x:c>
      <x:c r="C65" s="22" t="str">
        <x:v>Global X Copper Miners ETF</x:v>
      </x:c>
      <x:c r="D65" s="22" t="str">
        <x:v>etf</x:v>
      </x:c>
      <x:c r="E65" s="22" t="str">
        <x:v>铜矿 ETF</x:v>
      </x:c>
      <x:c r="F65" s="22" t="str">
        <x:v>No</x:v>
      </x:c>
      <x:c r="G65" s="22" t="str">
        <x:v>No quarterly financial data / ETF or watch-only</x:v>
      </x:c>
      <x:c r="H65" s="23" t="n">
        <x:v>7</x:v>
      </x:c>
      <x:c r="I65" s="23" t="n">
        <x:v>50</x:v>
      </x:c>
      <x:c r="J65" s="23" t="n">
        <x:v>3</x:v>
      </x:c>
      <x:c r="K65" s="23" t="n">
        <x:v>-0.5108256237659907</x:v>
      </x:c>
      <x:c r="L65" s="23" t="str"/>
      <x:c r="M65" s="23"/>
      <x:c r="N65" s="23" t="str"/>
      <x:c r="O65" s="23"/>
      <x:c r="P65" s="23"/>
      <x:c r="Q65" s="23"/>
      <x:c r="R65" s="23"/>
      <x:c r="S65" s="23"/>
      <x:c r="T65" s="23"/>
      <x:c r="U65" s="23" t="str">
        <x:v>历史不足</x:v>
      </x:c>
      <x:c r="V65" s="23"/>
      <x:c r="W65" s="23" t="str"/>
      <x:c r="X65" s="23" t="str"/>
      <x:c r="Y65" s="23" t="str"/>
      <x:c r="Z65" s="23" t="n">
        <x:v>0.2</x:v>
      </x:c>
      <x:c r="AA65" s="23" t="n">
        <x:v>3.912023005428146</x:v>
      </x:c>
      <x:c r="AB65" s="23"/>
      <x:c r="AC65" s="23"/>
      <x:c r="AD65" s="23"/>
      <x:c r="AE65" s="23"/>
      <x:c r="AF65" s="23"/>
      <x:c r="AG65" s="23"/>
      <x:c r="AH65" s="22" t="str"/>
      <x:c r="AI65" s="24" t="str"/>
      <x:c r="AJ65" s="24" t="str"/>
      <x:c r="AK65" s="24" t="str"/>
      <x:c r="AL65" s="24" t="str">
        <x:v>全球铜矿 ETF. 数据中心 + 电网升级 + 电动车 三重需求, 铜超级周期主要交易工具.</x:v>
      </x:c>
    </x:row>
    <x:row r="66">
      <x:c r="A66" s="22" t="str">
        <x:v>US</x:v>
      </x:c>
      <x:c r="B66" s="22" t="str">
        <x:v>XME</x:v>
      </x:c>
      <x:c r="C66" s="22" t="str">
        <x:v>SPDR Metals &amp; Mining</x:v>
      </x:c>
      <x:c r="D66" s="22" t="str">
        <x:v>etf</x:v>
      </x:c>
      <x:c r="E66" s="22" t="str">
        <x:v>金属矿业 ETF</x:v>
      </x:c>
      <x:c r="F66" s="22" t="str">
        <x:v>No</x:v>
      </x:c>
      <x:c r="G66" s="22" t="str">
        <x:v>No quarterly financial data / ETF or watch-only</x:v>
      </x:c>
      <x:c r="H66" s="23" t="n">
        <x:v>6</x:v>
      </x:c>
      <x:c r="I66" s="23" t="n">
        <x:v>25</x:v>
      </x:c>
      <x:c r="J66" s="23" t="n">
        <x:v>4</x:v>
      </x:c>
      <x:c r="K66" s="23" t="n">
        <x:v>-0.2231435513142097</x:v>
      </x:c>
      <x:c r="L66" s="23" t="str"/>
      <x:c r="M66" s="23"/>
      <x:c r="N66" s="23" t="str"/>
      <x:c r="O66" s="23"/>
      <x:c r="P66" s="23"/>
      <x:c r="Q66" s="23"/>
      <x:c r="R66" s="23"/>
      <x:c r="S66" s="23"/>
      <x:c r="T66" s="23"/>
      <x:c r="U66" s="23" t="str">
        <x:v>历史不足</x:v>
      </x:c>
      <x:c r="V66" s="23"/>
      <x:c r="W66" s="23" t="str"/>
      <x:c r="X66" s="23" t="str"/>
      <x:c r="Y66" s="23" t="str"/>
      <x:c r="Z66" s="23" t="n">
        <x:v>0.2</x:v>
      </x:c>
      <x:c r="AA66" s="23" t="n">
        <x:v>3.2188758248682006</x:v>
      </x:c>
      <x:c r="AB66" s="23"/>
      <x:c r="AC66" s="23"/>
      <x:c r="AD66" s="23"/>
      <x:c r="AE66" s="23"/>
      <x:c r="AF66" s="23"/>
      <x:c r="AG66" s="23"/>
      <x:c r="AH66" s="22" t="str"/>
      <x:c r="AI66" s="24" t="str"/>
      <x:c r="AJ66" s="24" t="str"/>
      <x:c r="AK66" s="24" t="str"/>
      <x:c r="AL66" s="24" t="str">
        <x:v>美国金属与矿业 ETF, 覆盖铜/铝/钢/锂等. AI 基建驱动金属需求.</x:v>
      </x:c>
    </x:row>
    <x:row r="67">
      <x:c r="A67" s="22" t="str">
        <x:v>US</x:v>
      </x:c>
      <x:c r="B67" s="22" t="str">
        <x:v>EWY</x:v>
      </x:c>
      <x:c r="C67" s="22" t="str">
        <x:v>iShares MSCI Korea</x:v>
      </x:c>
      <x:c r="D67" s="22" t="str">
        <x:v>etf</x:v>
      </x:c>
      <x:c r="E67" s="22" t="str">
        <x:v>韩国 ETF</x:v>
      </x:c>
      <x:c r="F67" s="22" t="str">
        <x:v>No</x:v>
      </x:c>
      <x:c r="G67" s="22" t="str">
        <x:v>No quarterly financial data / ETF or watch-only</x:v>
      </x:c>
      <x:c r="H67" s="23" t="n">
        <x:v>7</x:v>
      </x:c>
      <x:c r="I67" s="23" t="n">
        <x:v>50</x:v>
      </x:c>
      <x:c r="J67" s="23" t="n">
        <x:v>1.5</x:v>
      </x:c>
      <x:c r="K67" s="23" t="n">
        <x:v>-1.2039728043259361</x:v>
      </x:c>
      <x:c r="L67" s="23" t="str"/>
      <x:c r="M67" s="23"/>
      <x:c r="N67" s="23" t="str"/>
      <x:c r="O67" s="23"/>
      <x:c r="P67" s="23"/>
      <x:c r="Q67" s="23"/>
      <x:c r="R67" s="23"/>
      <x:c r="S67" s="23"/>
      <x:c r="T67" s="23"/>
      <x:c r="U67" s="23" t="str">
        <x:v>历史不足</x:v>
      </x:c>
      <x:c r="V67" s="23"/>
      <x:c r="W67" s="23" t="str"/>
      <x:c r="X67" s="23" t="str"/>
      <x:c r="Y67" s="23" t="str"/>
      <x:c r="Z67" s="23" t="n">
        <x:v>0.2</x:v>
      </x:c>
      <x:c r="AA67" s="23" t="n">
        <x:v>3.912023005428146</x:v>
      </x:c>
      <x:c r="AB67" s="23"/>
      <x:c r="AC67" s="23"/>
      <x:c r="AD67" s="23"/>
      <x:c r="AE67" s="23"/>
      <x:c r="AF67" s="23"/>
      <x:c r="AG67" s="23"/>
      <x:c r="AH67" s="22" t="str"/>
      <x:c r="AI67" s="24" t="str"/>
      <x:c r="AJ67" s="24" t="str"/>
      <x:c r="AK67" s="24" t="str"/>
      <x:c r="AL67" s="24" t="str">
        <x:v>韩国市场 ETF, 主要持仓三星电子 + SK 海力士. 间接配置 HBM 全球老大 SK Hynix.</x:v>
      </x:c>
    </x:row>
    <x:row r="68">
      <x:c r="A68" s="22" t="str">
        <x:v>US</x:v>
      </x:c>
      <x:c r="B68" s="22" t="str">
        <x:v>ARM</x:v>
      </x:c>
      <x:c r="C68" s="22" t="str">
        <x:v>Arm Holdings</x:v>
      </x:c>
      <x:c r="D68" s="22" t="str">
        <x:v>core_chip</x:v>
      </x:c>
      <x:c r="E68" s="22" t="str">
        <x:v>CPU IP</x:v>
      </x:c>
      <x:c r="F68" s="22" t="str">
        <x:v>Yes</x:v>
      </x:c>
      <x:c r="G68" s="22" t="str"/>
      <x:c r="H68" s="23" t="n">
        <x:v>8</x:v>
      </x:c>
      <x:c r="I68" s="23" t="n">
        <x:v>1500</x:v>
      </x:c>
      <x:c r="J68" s="23" t="n">
        <x:v>2</x:v>
      </x:c>
      <x:c r="K68" s="23" t="n">
        <x:v>-0.916290731874155</x:v>
      </x:c>
      <x:c r="L68" s="23" t="str">
        <x:v>2025Q1</x:v>
      </x:c>
      <x:c r="M68" s="23" t="n">
        <x:v>12.4</x:v>
      </x:c>
      <x:c r="N68" s="23" t="str">
        <x:v>2026Q1</x:v>
      </x:c>
      <x:c r="O68" s="23" t="n">
        <x:v>14.9</x:v>
      </x:c>
      <x:c r="P68" s="23" t="n">
        <x:v>20.161290322580648</x:v>
      </x:c>
      <x:c r="Q68" s="23" t="n">
        <x:v>97.85</x:v>
      </x:c>
      <x:c r="R68" s="23" t="n">
        <x:v>21.01</x:v>
      </x:c>
      <x:c r="S68" s="23" t="n">
        <x:v>21.01</x:v>
      </x:c>
      <x:c r="T68" s="23" t="n">
        <x:v>18.799668311515287</x:v>
      </x:c>
      <x:c r="U68" s="23" t="str">
        <x:v>历史加速 18.8ppt / 无forecast不扣分</x:v>
      </x:c>
      <x:c r="V68" s="23"/>
      <x:c r="W68" s="23" t="str">
        <x:v>2026Q2</x:v>
      </x:c>
      <x:c r="X68" s="23" t="str">
        <x:v>NA</x:v>
      </x:c>
      <x:c r="Y68" s="23" t="str">
        <x:v>没有季度级官方 forecast</x:v>
      </x:c>
      <x:c r="Z68" s="23" t="n">
        <x:v>0.25</x:v>
      </x:c>
      <x:c r="AA68" s="23" t="n">
        <x:v>8.777006789531047</x:v>
      </x:c>
      <x:c r="AB68" s="23" t="n">
        <x:v>1.09</x:v>
      </x:c>
      <x:c r="AC68" s="23" t="n">
        <x:v>0.092</x:v>
      </x:c>
      <x:c r="AD68" s="23" t="n">
        <x:v>0.08440366972477063</x:v>
      </x:c>
      <x:c r="AE68" s="23" t="n">
        <x:v>0.998</x:v>
      </x:c>
      <x:c r="AF68" s="23" t="n">
        <x:v>16.74</x:v>
      </x:c>
      <x:c r="AG68" s="23"/>
      <x:c r="AH68" s="22" t="str">
        <x:v>SEC Companyfacts</x:v>
      </x:c>
      <x:c r="AI68" s="24" t="str">
        <x:v>https://data.sec.gov/api/xbrl/companyfacts/CIK0001973239.json</x:v>
      </x:c>
      <x:c r="AJ68" s="24" t="str">
        <x:v>https://www.sec.gov/Archives/edgar/data/1973239/000197323926000097/0001973239-26-000097-index.html</x:v>
      </x:c>
      <x:c r="AK68" s="24" t="str">
        <x:v>FY2026 Q4 / Jan-Mar 2026 derived from SEC 20-F FY2026 minus 6-K Apr-Jun/Jul-Sep/Oct-Dec 2025: revenue $1.490B, gross profit $1.458B, net income $0.313B</x:v>
      </x:c>
      <x:c r="AL68" s="24" t="str">
        <x:v>全球 CPU IP 设计垄断 (手机/AI/服务器), Grace CPU + AI 边缘端基础设施核心.</x:v>
      </x:c>
    </x:row>
    <x:row r="69">
      <x:c r="A69" s="22" t="str">
        <x:v>US</x:v>
      </x:c>
      <x:c r="B69" s="22" t="str">
        <x:v>LRCX</x:v>
      </x:c>
      <x:c r="C69" s="22" t="str">
        <x:v>Lam Research</x:v>
      </x:c>
      <x:c r="D69" s="22" t="str">
        <x:v>foundry</x:v>
      </x:c>
      <x:c r="E69" s="22" t="str">
        <x:v>刻蚀设备</x:v>
      </x:c>
      <x:c r="F69" s="22" t="str">
        <x:v>Yes</x:v>
      </x:c>
      <x:c r="G69" s="22" t="str"/>
      <x:c r="H69" s="23" t="n">
        <x:v>8</x:v>
      </x:c>
      <x:c r="I69" s="23" t="n">
        <x:v>1100</x:v>
      </x:c>
      <x:c r="J69" s="23" t="n">
        <x:v>2.5</x:v>
      </x:c>
      <x:c r="K69" s="23" t="n">
        <x:v>-0.6931471805599453</x:v>
      </x:c>
      <x:c r="L69" s="23" t="str">
        <x:v>2025Q1</x:v>
      </x:c>
      <x:c r="M69" s="23" t="n">
        <x:v>47.2</x:v>
      </x:c>
      <x:c r="N69" s="23" t="str">
        <x:v>2026Q1</x:v>
      </x:c>
      <x:c r="O69" s="23" t="n">
        <x:v>58.4</x:v>
      </x:c>
      <x:c r="P69" s="23" t="n">
        <x:v>23.728813559322013</x:v>
      </x:c>
      <x:c r="Q69" s="23" t="n">
        <x:v>49.83</x:v>
      </x:c>
      <x:c r="R69" s="23" t="n">
        <x:v>31.25</x:v>
      </x:c>
      <x:c r="S69" s="23" t="n">
        <x:v>31.25</x:v>
      </x:c>
      <x:c r="T69" s="23" t="n">
        <x:v>1.49961844040189</x:v>
      </x:c>
      <x:c r="U69" s="23" t="str">
        <x:v>历史加速 -1.3ppt / 前瞻 8.1ppt</x:v>
      </x:c>
      <x:c r="V69" s="23" t="n">
        <x:v>66</x:v>
      </x:c>
      <x:c r="W69" s="23" t="str">
        <x:v>2026Q2</x:v>
      </x:c>
      <x:c r="X69" s="23" t="str">
        <x:v>F</x:v>
      </x:c>
      <x:c r="Y69" s="23" t="str">
        <x:v>Lam Research official Q3 FY2026 results</x:v>
      </x:c>
      <x:c r="Z69" s="23" t="n">
        <x:v>0.55</x:v>
      </x:c>
      <x:c r="AA69" s="23" t="n">
        <x:v>8.919856130594955</x:v>
      </x:c>
      <x:c r="AB69" s="23" t="n">
        <x:v>5.179</x:v>
      </x:c>
      <x:c r="AC69" s="23" t="n">
        <x:v>0.502</x:v>
      </x:c>
      <x:c r="AD69" s="23" t="n">
        <x:v>0.09692990924888974</x:v>
      </x:c>
      <x:c r="AE69" s="23" t="n">
        <x:v>4.677</x:v>
      </x:c>
      <x:c r="AF69" s="23" t="n">
        <x:v>20.02</x:v>
      </x:c>
      <x:c r="AG69" s="23" t="n">
        <x:v>0.483</x:v>
      </x:c>
      <x:c r="AH69" s="22" t="str">
        <x:v>SEC Companyfacts</x:v>
      </x:c>
      <x:c r="AI69" s="24" t="str">
        <x:v>https://data.sec.gov/api/xbrl/companyfacts/CIK0000707549.json</x:v>
      </x:c>
      <x:c r="AJ69" s="24" t="str">
        <x:v>https://www.sec.gov/Archives/edgar/data/707549/000070754926000022/0000707549-26-000022-index.html</x:v>
      </x:c>
      <x:c r="AK69" s="24" t="str">
        <x:v>SEC Companyfacts CY2026Q1: revenue $5.841B, gross profit $2.911B, net income $1.825B</x:v>
      </x:c>
      <x:c r="AL69" s="24" t="str">
        <x:v>刻蚀/沉积设备龙头 (与 AMAT 并列), HBM/NAND 制造关键工序.</x:v>
      </x:c>
    </x:row>
    <x:row r="70">
      <x:c r="A70" s="22" t="str">
        <x:v>US</x:v>
      </x:c>
      <x:c r="B70" s="22" t="str">
        <x:v>CDNS</x:v>
      </x:c>
      <x:c r="C70" s="22" t="str">
        <x:v>Cadence Design</x:v>
      </x:c>
      <x:c r="D70" s="22" t="str">
        <x:v>foundry</x:v>
      </x:c>
      <x:c r="E70" s="22" t="str">
        <x:v>EDA 软件</x:v>
      </x:c>
      <x:c r="F70" s="22" t="str">
        <x:v>Yes</x:v>
      </x:c>
      <x:c r="G70" s="22" t="str"/>
      <x:c r="H70" s="23" t="n">
        <x:v>8</x:v>
      </x:c>
      <x:c r="I70" s="23" t="n">
        <x:v>800</x:v>
      </x:c>
      <x:c r="J70" s="23" t="n">
        <x:v>1.5</x:v>
      </x:c>
      <x:c r="K70" s="23" t="n">
        <x:v>-1.2039728043259361</x:v>
      </x:c>
      <x:c r="L70" s="23" t="str">
        <x:v>2025Q1</x:v>
      </x:c>
      <x:c r="M70" s="23" t="n">
        <x:v>12.4</x:v>
      </x:c>
      <x:c r="N70" s="23" t="str">
        <x:v>2026Q1</x:v>
      </x:c>
      <x:c r="O70" s="23" t="n">
        <x:v>14.7</x:v>
      </x:c>
      <x:c r="P70" s="23" t="n">
        <x:v>18.548387096774178</x:v>
      </x:c>
      <x:c r="Q70" s="23" t="n">
        <x:v>85.45</x:v>
      </x:c>
      <x:c r="R70" s="23" t="n">
        <x:v>22.77</x:v>
      </x:c>
      <x:c r="S70" s="23" t="n">
        <x:v>22.77</x:v>
      </x:c>
      <x:c r="T70" s="23" t="n">
        <x:v>0.8163567244423025</x:v>
      </x:c>
      <x:c r="U70" s="23" t="str">
        <x:v>历史加速 0.8ppt / 无forecast不扣分</x:v>
      </x:c>
      <x:c r="V70" s="23"/>
      <x:c r="W70" s="23" t="str">
        <x:v>2026Q2</x:v>
      </x:c>
      <x:c r="X70" s="23" t="str">
        <x:v>NA</x:v>
      </x:c>
      <x:c r="Y70" s="23" t="str">
        <x:v>没有季度级官方 forecast</x:v>
      </x:c>
      <x:c r="Z70" s="23" t="n">
        <x:v>0.45</x:v>
      </x:c>
      <x:c r="AA70" s="23" t="n">
        <x:v>8.526339006444502</x:v>
      </x:c>
      <x:c r="AB70" s="23" t="n">
        <x:v>1.349</x:v>
      </x:c>
      <x:c r="AC70" s="23" t="n">
        <x:v>0.102</x:v>
      </x:c>
      <x:c r="AD70" s="23" t="n">
        <x:v>0.07561156412157154</x:v>
      </x:c>
      <x:c r="AE70" s="23" t="n">
        <x:v>1.247</x:v>
      </x:c>
      <x:c r="AF70" s="23" t="n">
        <x:v>21.2</x:v>
      </x:c>
      <x:c r="AG70" s="23"/>
      <x:c r="AH70" s="22" t="str">
        <x:v>SEC Companyfacts</x:v>
      </x:c>
      <x:c r="AI70" s="24" t="str">
        <x:v>https://data.sec.gov/api/xbrl/companyfacts/CIK0000813672.json</x:v>
      </x:c>
      <x:c r="AJ70" s="24" t="str">
        <x:v>https://www.sec.gov/Archives/edgar/data/813672/000081367226000047/0000813672-26-000047-index.html</x:v>
      </x:c>
      <x:c r="AK70" s="24" t="str">
        <x:v>Cadence SEC/IR FY2026Q1: revenue $1.474B, gross profit $1.260B (total revenue minus cost of product and maintenance $0.153B and cost of services $0.061B), net income $0.336B</x:v>
      </x:c>
      <x:c r="AL70" s="24" t="str">
        <x:v>EDA 双寡头之一 (与 SNPS 并列), AI 芯片设计必备工具.</x:v>
      </x:c>
    </x:row>
    <x:row r="71">
      <x:c r="A71" s="22" t="str">
        <x:v>US</x:v>
      </x:c>
      <x:c r="B71" s="22" t="str">
        <x:v>ASE</x:v>
      </x:c>
      <x:c r="C71" s="22" t="str">
        <x:v>ASE Technology</x:v>
      </x:c>
      <x:c r="D71" s="22" t="str">
        <x:v>packaging</x:v>
      </x:c>
      <x:c r="E71" s="22" t="str">
        <x:v>封测</x:v>
      </x:c>
      <x:c r="F71" s="22" t="str">
        <x:v>Yes</x:v>
      </x:c>
      <x:c r="G71" s="22" t="str"/>
      <x:c r="H71" s="23" t="n">
        <x:v>8</x:v>
      </x:c>
      <x:c r="I71" s="23" t="n">
        <x:v>250</x:v>
      </x:c>
      <x:c r="J71" s="23" t="n">
        <x:v>2.5</x:v>
      </x:c>
      <x:c r="K71" s="23" t="n">
        <x:v>-0.6931471805599453</x:v>
      </x:c>
      <x:c r="L71" s="23" t="str">
        <x:v>2025Q1</x:v>
      </x:c>
      <x:c r="M71" s="23" t="n">
        <x:v>45.6</x:v>
      </x:c>
      <x:c r="N71" s="23" t="str">
        <x:v>2026Q1</x:v>
      </x:c>
      <x:c r="O71" s="23" t="n">
        <x:v>53.4</x:v>
      </x:c>
      <x:c r="P71" s="23" t="n">
        <x:v>17.105263157894733</x:v>
      </x:c>
      <x:c r="Q71" s="23" t="n">
        <x:v>20.1</x:v>
      </x:c>
      <x:c r="R71" s="23" t="n">
        <x:v>8.1</x:v>
      </x:c>
      <x:c r="S71" s="23" t="n">
        <x:v>8.1</x:v>
      </x:c>
      <x:c r="T71" s="23" t="n">
        <x:v>-5.294721754527498</x:v>
      </x:c>
      <x:c r="U71" s="23" t="str">
        <x:v>历史加速 -5.3ppt / 无forecast不扣分</x:v>
      </x:c>
      <x:c r="V71" s="23"/>
      <x:c r="W71" s="23" t="str">
        <x:v>2026Q2</x:v>
      </x:c>
      <x:c r="X71" s="23" t="str">
        <x:v>NA</x:v>
      </x:c>
      <x:c r="Y71" s="23" t="str">
        <x:v>没有季度级官方 forecast</x:v>
      </x:c>
      <x:c r="Z71" s="23" t="n">
        <x:v>0.55</x:v>
      </x:c>
      <x:c r="AA71" s="23" t="n">
        <x:v>6.427080879588902</x:v>
      </x:c>
      <x:c r="AB71" s="23" t="n">
        <x:v>3.619</x:v>
      </x:c>
      <x:c r="AC71" s="23" t="n">
        <x:v>1.713</x:v>
      </x:c>
      <x:c r="AD71" s="23" t="n">
        <x:v>0.47333517546283504</x:v>
      </x:c>
      <x:c r="AE71" s="23" t="n">
        <x:v>1.906</x:v>
      </x:c>
      <x:c r="AF71" s="23" t="n">
        <x:v>8.92</x:v>
      </x:c>
      <x:c r="AG71" s="23"/>
      <x:c r="AH71" s="22" t="str">
        <x:v>SEC Companyfacts</x:v>
      </x:c>
      <x:c r="AI71" s="24" t="str">
        <x:v>https://data.sec.gov/api/xbrl/companyfacts/CIK0001122411.json</x:v>
      </x:c>
      <x:c r="AJ71" s="24" t="str">
        <x:v>https://www.prnewswire.com/news-releases/ase-technology-holding-co-ltd-reports-its-unaudited-consolidated-financial-results-for-the-first-quarter-of-2026-302756590.html</x:v>
      </x:c>
      <x:c r="AK71" s="24" t="str">
        <x:v>Q1 2026 actual: NT$173.662B revenue, NT$14.148B net income; converted at approx. 32.5 NTD/USD</x:v>
      </x:c>
      <x:c r="AL71" s="24" t="str">
        <x:v>全球最大 OSAT (外包封测), CoWoS/SoIC 先进封装产能扩张主力.</x:v>
      </x:c>
    </x:row>
    <x:row r="72">
      <x:c r="A72" s="22" t="str">
        <x:v>US</x:v>
      </x:c>
      <x:c r="B72" s="22" t="str">
        <x:v>AMKR</x:v>
      </x:c>
      <x:c r="C72" s="22" t="str">
        <x:v>Amkor Technology</x:v>
      </x:c>
      <x:c r="D72" s="22" t="str">
        <x:v>packaging</x:v>
      </x:c>
      <x:c r="E72" s="22" t="str">
        <x:v>封测</x:v>
      </x:c>
      <x:c r="F72" s="22" t="str">
        <x:v>Yes</x:v>
      </x:c>
      <x:c r="G72" s="22" t="str"/>
      <x:c r="H72" s="23" t="n">
        <x:v>7</x:v>
      </x:c>
      <x:c r="I72" s="23" t="n">
        <x:v>80</x:v>
      </x:c>
      <x:c r="J72" s="23" t="n">
        <x:v>3.5</x:v>
      </x:c>
      <x:c r="K72" s="23" t="n">
        <x:v>-0.35667494393873245</x:v>
      </x:c>
      <x:c r="L72" s="23" t="str">
        <x:v>2025Q1</x:v>
      </x:c>
      <x:c r="M72" s="23" t="n">
        <x:v>13.2</x:v>
      </x:c>
      <x:c r="N72" s="23" t="str">
        <x:v>2026Q1</x:v>
      </x:c>
      <x:c r="O72" s="23" t="n">
        <x:v>16.8</x:v>
      </x:c>
      <x:c r="P72" s="23" t="n">
        <x:v>27.272727272727295</x:v>
      </x:c>
      <x:c r="Q72" s="23" t="n">
        <x:v>14.19</x:v>
      </x:c>
      <x:c r="R72" s="23" t="n">
        <x:v>4.95</x:v>
      </x:c>
      <x:c r="S72" s="23" t="n">
        <x:v>4.95</x:v>
      </x:c>
      <x:c r="T72" s="23" t="n">
        <x:v>-17.24809680744154</x:v>
      </x:c>
      <x:c r="U72" s="23" t="str">
        <x:v>历史加速 -31.2ppt / 前瞻 15.2ppt</x:v>
      </x:c>
      <x:c r="V72" s="23" t="n">
        <x:v>18</x:v>
      </x:c>
      <x:c r="W72" s="23" t="str">
        <x:v>2026Q2</x:v>
      </x:c>
      <x:c r="X72" s="23" t="str">
        <x:v>F</x:v>
      </x:c>
      <x:c r="Y72" s="23" t="str">
        <x:v>Amkor official Q1 2026 results</x:v>
      </x:c>
      <x:c r="Z72" s="23" t="n">
        <x:v>0.6</x:v>
      </x:c>
      <x:c r="AA72" s="23" t="n">
        <x:v>5.09491287706377</x:v>
      </x:c>
      <x:c r="AB72" s="23" t="n">
        <x:v>1.27</x:v>
      </x:c>
      <x:c r="AC72" s="23" t="n">
        <x:v>0.749</x:v>
      </x:c>
      <x:c r="AD72" s="23" t="n">
        <x:v>0.5897637795275591</x:v>
      </x:c>
      <x:c r="AE72" s="23" t="n">
        <x:v>0.521</x:v>
      </x:c>
      <x:c r="AF72" s="23" t="n">
        <x:v>7.75</x:v>
      </x:c>
      <x:c r="AG72" s="23" t="n">
        <x:v>0.232</x:v>
      </x:c>
      <x:c r="AH72" s="22" t="str">
        <x:v>SEC Companyfacts</x:v>
      </x:c>
      <x:c r="AI72" s="24" t="str">
        <x:v>https://data.sec.gov/api/xbrl/companyfacts/CIK0001047127.json</x:v>
      </x:c>
      <x:c r="AJ72" s="24" t="str">
        <x:v>https://www.sec.gov/Archives/edgar/data/1047127/000104712726000020/0001047127-26-000020-index.html</x:v>
      </x:c>
      <x:c r="AK72" s="24" t="str">
        <x:v>SEC Companyfacts CY2026Q1: revenue $1.685B, gross profit $0.239B, net income $0.083B</x:v>
      </x:c>
      <x:c r="AL72" s="24" t="str">
        <x:v>美国本土最大封测 (ASE 二号位), AI 芯片 2.5D/3D 封装合作伙伴.</x:v>
      </x:c>
    </x:row>
    <x:row r="73">
      <x:c r="A73" s="22" t="str">
        <x:v>US</x:v>
      </x:c>
      <x:c r="B73" s="22" t="str">
        <x:v>TER</x:v>
      </x:c>
      <x:c r="C73" s="22" t="str">
        <x:v>Teradyne</x:v>
      </x:c>
      <x:c r="D73" s="22" t="str">
        <x:v>packaging</x:v>
      </x:c>
      <x:c r="E73" s="22" t="str">
        <x:v>测试设备</x:v>
      </x:c>
      <x:c r="F73" s="22" t="str">
        <x:v>Yes</x:v>
      </x:c>
      <x:c r="G73" s="22" t="str"/>
      <x:c r="H73" s="23" t="n">
        <x:v>7</x:v>
      </x:c>
      <x:c r="I73" s="23" t="n">
        <x:v>250</x:v>
      </x:c>
      <x:c r="J73" s="23" t="n">
        <x:v>2.5</x:v>
      </x:c>
      <x:c r="K73" s="23" t="n">
        <x:v>-0.6931471805599453</x:v>
      </x:c>
      <x:c r="L73" s="23" t="str">
        <x:v>2025Q1</x:v>
      </x:c>
      <x:c r="M73" s="23" t="n">
        <x:v>6.9</x:v>
      </x:c>
      <x:c r="N73" s="23" t="str">
        <x:v>2026Q1</x:v>
      </x:c>
      <x:c r="O73" s="23" t="n">
        <x:v>12.8</x:v>
      </x:c>
      <x:c r="P73" s="23" t="n">
        <x:v>85.5072463768116</x:v>
      </x:c>
      <x:c r="Q73" s="23" t="n">
        <x:v>60.89</x:v>
      </x:c>
      <x:c r="R73" s="23" t="n">
        <x:v>31.1</x:v>
      </x:c>
      <x:c r="S73" s="23" t="n">
        <x:v>31.1</x:v>
      </x:c>
      <x:c r="T73" s="23" t="n">
        <x:v>5.44809880135967</x:v>
      </x:c>
      <x:c r="U73" s="23" t="str">
        <x:v>历史加速 23.1ppt / 前瞻 -35.6ppt</x:v>
      </x:c>
      <x:c r="V73" s="23" t="n">
        <x:v>12</x:v>
      </x:c>
      <x:c r="W73" s="23" t="str">
        <x:v>2026Q2</x:v>
      </x:c>
      <x:c r="X73" s="23" t="str">
        <x:v>F</x:v>
      </x:c>
      <x:c r="Y73" s="23" t="str">
        <x:v>Teradyne official Q1 2026 results</x:v>
      </x:c>
      <x:c r="Z73" s="23" t="n">
        <x:v>0.45</x:v>
      </x:c>
      <x:c r="AA73" s="23" t="n">
        <x:v>6.257194115820825</x:v>
      </x:c>
      <x:c r="AB73" s="23" t="n">
        <x:v>0.585</x:v>
      </x:c>
      <x:c r="AC73" s="23" t="n">
        <x:v>0.16</x:v>
      </x:c>
      <x:c r="AD73" s="23" t="n">
        <x:v>0.27350427350427353</x:v>
      </x:c>
      <x:c r="AE73" s="23" t="n">
        <x:v>0.426</x:v>
      </x:c>
      <x:c r="AF73" s="23" t="n">
        <x:v>8.31</x:v>
      </x:c>
      <x:c r="AG73" s="23" t="n">
        <x:v>0.294</x:v>
      </x:c>
      <x:c r="AH73" s="22" t="str">
        <x:v>SEC Companyfacts</x:v>
      </x:c>
      <x:c r="AI73" s="24" t="str">
        <x:v>https://data.sec.gov/api/xbrl/companyfacts/CIK0000097210.json</x:v>
      </x:c>
      <x:c r="AJ73" s="24" t="str">
        <x:v>https://www.sec.gov/Archives/edgar/data/97210/000119312526201058/0001193125-26-201058-index.html</x:v>
      </x:c>
      <x:c r="AK73" s="24" t="str">
        <x:v>SEC Companyfacts CY2026Q1: revenue $1.282B, gross profit $0.781B, net income $0.399B</x:v>
      </x:c>
      <x:c r="AL73" s="24" t="str">
        <x:v>半导体测试设备龙头, HBM/SoC 量产测试受益, 与 Advantest 双寡头.</x:v>
      </x:c>
    </x:row>
    <x:row r="74">
      <x:c r="A74" s="22" t="str">
        <x:v>US</x:v>
      </x:c>
      <x:c r="B74" s="22" t="str">
        <x:v>ANET</x:v>
      </x:c>
      <x:c r="C74" s="22" t="str">
        <x:v>Arista Networks</x:v>
      </x:c>
      <x:c r="D74" s="22" t="str">
        <x:v>network</x:v>
      </x:c>
      <x:c r="E74" s="22" t="str">
        <x:v>AI 以太网</x:v>
      </x:c>
      <x:c r="F74" s="22" t="str">
        <x:v>Yes</x:v>
      </x:c>
      <x:c r="G74" s="22" t="str"/>
      <x:c r="H74" s="23" t="n">
        <x:v>9</x:v>
      </x:c>
      <x:c r="I74" s="23" t="n">
        <x:v>1400</x:v>
      </x:c>
      <x:c r="J74" s="23" t="n">
        <x:v>1.5</x:v>
      </x:c>
      <x:c r="K74" s="23" t="n">
        <x:v>-1.2039728043259361</x:v>
      </x:c>
      <x:c r="L74" s="23" t="str">
        <x:v>2025Q1</x:v>
      </x:c>
      <x:c r="M74" s="23" t="n">
        <x:v>20</x:v>
      </x:c>
      <x:c r="N74" s="23" t="str">
        <x:v>2026Q1</x:v>
      </x:c>
      <x:c r="O74" s="23" t="n">
        <x:v>27.1</x:v>
      </x:c>
      <x:c r="P74" s="23" t="n">
        <x:v>35.5</x:v>
      </x:c>
      <x:c r="Q74" s="23" t="n">
        <x:v>61.9</x:v>
      </x:c>
      <x:c r="R74" s="23" t="n">
        <x:v>37.76</x:v>
      </x:c>
      <x:c r="S74" s="23" t="n">
        <x:v>37.76</x:v>
      </x:c>
      <x:c r="T74" s="23" t="n">
        <x:v>-0.928180205366446</x:v>
      </x:c>
      <x:c r="U74" s="23" t="str">
        <x:v>历史加速 0.8ppt / 前瞻 -5.0ppt</x:v>
      </x:c>
      <x:c r="V74" s="23" t="n">
        <x:v>28</x:v>
      </x:c>
      <x:c r="W74" s="23" t="str">
        <x:v>2026Q2</x:v>
      </x:c>
      <x:c r="X74" s="23" t="str">
        <x:v>F</x:v>
      </x:c>
      <x:c r="Y74" s="23" t="str">
        <x:v>Arista official Q1 2026 results</x:v>
      </x:c>
      <x:c r="Z74" s="23" t="n">
        <x:v>0.4</x:v>
      </x:c>
      <x:c r="AA74" s="23" t="n">
        <x:v>8.91797772756361</x:v>
      </x:c>
      <x:c r="AB74" s="23" t="n">
        <x:v>2.034</x:v>
      </x:c>
      <x:c r="AC74" s="23" t="n">
        <x:v>0.034</x:v>
      </x:c>
      <x:c r="AD74" s="23" t="n">
        <x:v>0.016715830875122913</x:v>
      </x:c>
      <x:c r="AE74" s="23" t="n">
        <x:v>2</x:v>
      </x:c>
      <x:c r="AF74" s="23" t="n">
        <x:v>18.45</x:v>
      </x:c>
      <x:c r="AG74" s="23"/>
      <x:c r="AH74" s="22" t="str">
        <x:v>SEC Companyfacts</x:v>
      </x:c>
      <x:c r="AI74" s="24" t="str">
        <x:v>https://data.sec.gov/api/xbrl/companyfacts/CIK0001596532.json</x:v>
      </x:c>
      <x:c r="AJ74" s="24" t="str">
        <x:v>https://www.sec.gov/Archives/edgar/data/1596532/000159653226000078/0001596532-26-000078-index.html</x:v>
      </x:c>
      <x:c r="AK74" s="24" t="str">
        <x:v>SEC Companyfacts CY2026Q1: revenue $2.709B, gross profit $1.677B, net income $1.023B</x:v>
      </x:c>
      <x:c r="AL74" s="24" t="str">
        <x:v>AI 数据中心以太网交换核心标的, Meta/Microsoft 等超大客户主供, AI 网络绝对龙头.</x:v>
      </x:c>
    </x:row>
    <x:row r="75">
      <x:c r="A75" s="22" t="str">
        <x:v>US</x:v>
      </x:c>
      <x:c r="B75" s="22" t="str">
        <x:v>CRDO</x:v>
      </x:c>
      <x:c r="C75" s="22" t="str">
        <x:v>Credo Technology</x:v>
      </x:c>
      <x:c r="D75" s="22" t="str">
        <x:v>network</x:v>
      </x:c>
      <x:c r="E75" s="22" t="str">
        <x:v>高速互联</x:v>
      </x:c>
      <x:c r="F75" s="22" t="str">
        <x:v>Yes</x:v>
      </x:c>
      <x:c r="G75" s="22" t="str"/>
      <x:c r="H75" s="23" t="n">
        <x:v>7</x:v>
      </x:c>
      <x:c r="I75" s="23" t="n">
        <x:v>150</x:v>
      </x:c>
      <x:c r="J75" s="23" t="n">
        <x:v>6</x:v>
      </x:c>
      <x:c r="K75" s="23" t="n">
        <x:v>-0.1823215567939546</x:v>
      </x:c>
      <x:c r="L75" s="23" t="str">
        <x:v>2025Q1</x:v>
      </x:c>
      <x:c r="M75" s="23" t="n">
        <x:v>1.35</x:v>
      </x:c>
      <x:c r="N75" s="23" t="str">
        <x:v>2026Q2</x:v>
      </x:c>
      <x:c r="O75" s="23" t="n">
        <x:v>4.37</x:v>
      </x:c>
      <x:c r="P75" s="23" t="n">
        <x:v>223.7037037037037</x:v>
      </x:c>
      <x:c r="Q75" s="23" t="n">
        <x:v>68.2</x:v>
      </x:c>
      <x:c r="R75" s="23" t="n">
        <x:v>38.7</x:v>
      </x:c>
      <x:c r="S75" s="23" t="n">
        <x:v>38.7</x:v>
      </x:c>
      <x:c r="T75" s="23" t="n">
        <x:v>-5.415301955774523</x:v>
      </x:c>
      <x:c r="U75" s="23" t="str">
        <x:v>历史加速 1.5ppt / 前瞻 -21.7ppt</x:v>
      </x:c>
      <x:c r="V75" s="23" t="n">
        <x:v>4.7</x:v>
      </x:c>
      <x:c r="W75" s="23" t="str">
        <x:v>2026Q3</x:v>
      </x:c>
      <x:c r="X75" s="23" t="str">
        <x:v>F</x:v>
      </x:c>
      <x:c r="Y75" s="23" t="str">
        <x:v>Credo official FY2026 Q4 results / SEC exhibit</x:v>
      </x:c>
      <x:c r="Z75" s="23" t="n">
        <x:v>0.55</x:v>
      </x:c>
      <x:c r="AA75" s="23" t="n">
        <x:v>4.7850352940962555</x:v>
      </x:c>
      <x:c r="AB75" s="23" t="n">
        <x:v>-0.025</x:v>
      </x:c>
      <x:c r="AC75" s="23" t="n">
        <x:v>0.022</x:v>
      </x:c>
      <x:c r="AD75" s="23"/>
      <x:c r="AE75" s="23" t="n">
        <x:v>-0.046</x:v>
      </x:c>
      <x:c r="AF75" s="23" t="n">
        <x:v>-2.82</x:v>
      </x:c>
      <x:c r="AG75" s="23"/>
      <x:c r="AH75" s="22" t="str">
        <x:v>SEC Companyfacts</x:v>
      </x:c>
      <x:c r="AI75" s="24" t="str">
        <x:v>https://data.sec.gov/api/xbrl/companyfacts/CIK0001807794.json</x:v>
      </x:c>
      <x:c r="AJ75" s="24" t="str">
        <x:v>https://www.sec.gov/Archives/edgar/data/1807794/000162828026039474/credoq42026ex-991.htm</x:v>
      </x:c>
      <x:c r="AK75" s="24" t="str">
        <x:v>FY26 Q4 (Feb-May 2026, ending May 2): 营收$4.37亿同比+157%/环比+7%, GAAP GM 68.2%, GAAP NM 38.7%; Non-GAAP EPS $1.16; 超指引(GM 63.9-65.9%)</x:v>
      </x:c>
      <x:c r="AL75" s="24" t="str">
        <x:v>高速 SerDes/AEC 主动电缆, AI 数据中心高速互联弹性最大标的.</x:v>
      </x:c>
    </x:row>
    <x:row r="76">
      <x:c r="A76" s="22" t="str">
        <x:v>US</x:v>
      </x:c>
      <x:c r="B76" s="22" t="str">
        <x:v>ALAB</x:v>
      </x:c>
      <x:c r="C76" s="22" t="str">
        <x:v>Astera Labs</x:v>
      </x:c>
      <x:c r="D76" s="22" t="str">
        <x:v>network</x:v>
      </x:c>
      <x:c r="E76" s="22" t="str">
        <x:v>PCIe/CXL</x:v>
      </x:c>
      <x:c r="F76" s="22" t="str">
        <x:v>Yes</x:v>
      </x:c>
      <x:c r="G76" s="22" t="str"/>
      <x:c r="H76" s="23" t="n">
        <x:v>8</x:v>
      </x:c>
      <x:c r="I76" s="23" t="n">
        <x:v>250</x:v>
      </x:c>
      <x:c r="J76" s="23" t="n">
        <x:v>5</x:v>
      </x:c>
      <x:c r="K76" s="23" t="n">
        <x:v>0</x:v>
      </x:c>
      <x:c r="L76" s="23" t="str">
        <x:v>2025Q1</x:v>
      </x:c>
      <x:c r="M76" s="23" t="n">
        <x:v>1.6</x:v>
      </x:c>
      <x:c r="N76" s="23" t="str">
        <x:v>2026Q1</x:v>
      </x:c>
      <x:c r="O76" s="23" t="n">
        <x:v>3.1</x:v>
      </x:c>
      <x:c r="P76" s="23" t="n">
        <x:v>93.75</x:v>
      </x:c>
      <x:c r="Q76" s="23" t="n">
        <x:v>76.26</x:v>
      </x:c>
      <x:c r="R76" s="23" t="n">
        <x:v>26.04</x:v>
      </x:c>
      <x:c r="S76" s="23" t="n">
        <x:v>26.04</x:v>
      </x:c>
      <x:c r="T76" s="23" t="n">
        <x:v>-2.6509875426840304</x:v>
      </x:c>
      <x:c r="U76" s="23" t="str">
        <x:v>历史加速 -3.8ppt / 前瞻 0.0ppt</x:v>
      </x:c>
      <x:c r="V76" s="23" t="n">
        <x:v>3.6</x:v>
      </x:c>
      <x:c r="W76" s="23" t="str">
        <x:v>2026Q2</x:v>
      </x:c>
      <x:c r="X76" s="23" t="str">
        <x:v>F</x:v>
      </x:c>
      <x:c r="Y76" s="23" t="str">
        <x:v>Astera Labs official Q1 2026 results</x:v>
      </x:c>
      <x:c r="Z76" s="23" t="n">
        <x:v>0.45</x:v>
      </x:c>
      <x:c r="AA76" s="23" t="n">
        <x:v>5.421460917862246</x:v>
      </x:c>
      <x:c r="AB76" s="23" t="n">
        <x:v>-0.013</x:v>
      </x:c>
      <x:c r="AC76" s="23" t="n">
        <x:v>0.003</x:v>
      </x:c>
      <x:c r="AD76" s="23"/>
      <x:c r="AE76" s="23" t="n">
        <x:v>-0.015</x:v>
      </x:c>
      <x:c r="AF76" s="23" t="n">
        <x:v>-1.25</x:v>
      </x:c>
      <x:c r="AG76" s="23"/>
      <x:c r="AH76" s="22" t="str">
        <x:v>SEC Companyfacts</x:v>
      </x:c>
      <x:c r="AI76" s="24" t="str">
        <x:v>https://data.sec.gov/api/xbrl/companyfacts/CIK0001736297.json</x:v>
      </x:c>
      <x:c r="AJ76" s="24" t="str">
        <x:v>https://www.sec.gov/Archives/edgar/data/1736297/000173629726000020/0001736297-26-000020-index.html</x:v>
      </x:c>
      <x:c r="AK76" s="24" t="str">
        <x:v>SEC Companyfacts CY2026Q1: revenue $0.308B, gross profit $0.235B, net income $0.080B</x:v>
      </x:c>
      <x:c r="AL76" s="24" t="str">
        <x:v>PCIe/CXL/Retimer 数据中心互联芯片, AI 服务器内部连接基础设施.</x:v>
      </x:c>
    </x:row>
    <x:row r="77">
      <x:c r="A77" s="22" t="str">
        <x:v>US</x:v>
      </x:c>
      <x:c r="B77" s="22" t="str">
        <x:v>CIEN</x:v>
      </x:c>
      <x:c r="C77" s="22" t="str">
        <x:v>Ciena</x:v>
      </x:c>
      <x:c r="D77" s="22" t="str">
        <x:v>network</x:v>
      </x:c>
      <x:c r="E77" s="22" t="str">
        <x:v>光网络</x:v>
      </x:c>
      <x:c r="F77" s="22" t="str">
        <x:v>Yes</x:v>
      </x:c>
      <x:c r="G77" s="22" t="str"/>
      <x:c r="H77" s="23" t="n">
        <x:v>7</x:v>
      </x:c>
      <x:c r="I77" s="23" t="n">
        <x:v>150</x:v>
      </x:c>
      <x:c r="J77" s="23" t="n">
        <x:v>3</x:v>
      </x:c>
      <x:c r="K77" s="23" t="n">
        <x:v>-0.5108256237659907</x:v>
      </x:c>
      <x:c r="L77" s="23" t="str">
        <x:v>2025Q1</x:v>
      </x:c>
      <x:c r="M77" s="23" t="n">
        <x:v>11.3</x:v>
      </x:c>
      <x:c r="N77" s="23" t="str">
        <x:v>2026Q1</x:v>
      </x:c>
      <x:c r="O77" s="23" t="n">
        <x:v>15.7</x:v>
      </x:c>
      <x:c r="P77" s="23" t="n">
        <x:v>38.938053097345126</x:v>
      </x:c>
      <x:c r="Q77" s="23" t="n">
        <x:v>44.03</x:v>
      </x:c>
      <x:c r="R77" s="23" t="n">
        <x:v>13.89</x:v>
      </x:c>
      <x:c r="S77" s="23" t="n">
        <x:v>13.89</x:v>
      </x:c>
      <x:c r="T77" s="23" t="n">
        <x:v>3.664009703405347</x:v>
      </x:c>
      <x:c r="U77" s="23" t="str">
        <x:v>历史加速 9.5ppt / 前瞻 -10.0ppt</x:v>
      </x:c>
      <x:c r="V77" s="23" t="n">
        <x:v>16.25</x:v>
      </x:c>
      <x:c r="W77" s="23" t="str">
        <x:v>2026Q3</x:v>
      </x:c>
      <x:c r="X77" s="23" t="str">
        <x:v>F</x:v>
      </x:c>
      <x:c r="Y77" s="23" t="str">
        <x:v>Ciena official fiscal Q2 2026 results</x:v>
      </x:c>
      <x:c r="Z77" s="23" t="n">
        <x:v>0.55</x:v>
      </x:c>
      <x:c r="AA77" s="23" t="n">
        <x:v>5.117263000203811</x:v>
      </x:c>
      <x:c r="AB77" s="23" t="n">
        <x:v>0.168</x:v>
      </x:c>
      <x:c r="AC77" s="23" t="n">
        <x:v>0.106</x:v>
      </x:c>
      <x:c r="AD77" s="23" t="n">
        <x:v>0.6309523809523809</x:v>
      </x:c>
      <x:c r="AE77" s="23" t="n">
        <x:v>0.062</x:v>
      </x:c>
      <x:c r="AF77" s="23" t="n">
        <x:v>0.99</x:v>
      </x:c>
      <x:c r="AG77" s="23" t="n">
        <x:v>0.415</x:v>
      </x:c>
      <x:c r="AH77" s="22" t="str">
        <x:v>SEC Companyfacts</x:v>
      </x:c>
      <x:c r="AI77" s="24" t="str">
        <x:v>https://data.sec.gov/api/xbrl/companyfacts/CIK0000936395.json</x:v>
      </x:c>
      <x:c r="AJ77" s="24" t="str">
        <x:v>https://www.sec.gov/Archives/edgar/data/936395/000162828026040767/0001628280-26-040767-index.html</x:v>
      </x:c>
      <x:c r="AK77" s="24" t="str">
        <x:v>SEC Companyfacts CY2026Q1: revenue $1.571B, gross profit $0.692B, net income $0.218B</x:v>
      </x:c>
      <x:c r="AL77" s="24" t="str">
        <x:v>光网络传输设备 (DCI 数据中心互联), AI 长距骨干网络受益.</x:v>
      </x:c>
    </x:row>
    <x:row r="78">
      <x:c r="A78" s="22" t="str">
        <x:v>US</x:v>
      </x:c>
      <x:c r="B78" s="22" t="str">
        <x:v>CSCO</x:v>
      </x:c>
      <x:c r="C78" s="22" t="str">
        <x:v>Cisco Systems</x:v>
      </x:c>
      <x:c r="D78" s="22" t="str">
        <x:v>network</x:v>
      </x:c>
      <x:c r="E78" s="22" t="str">
        <x:v>网络设备</x:v>
      </x:c>
      <x:c r="F78" s="22" t="str">
        <x:v>Yes</x:v>
      </x:c>
      <x:c r="G78" s="22" t="str"/>
      <x:c r="H78" s="23" t="n">
        <x:v>6</x:v>
      </x:c>
      <x:c r="I78" s="23" t="n">
        <x:v>2800</x:v>
      </x:c>
      <x:c r="J78" s="23" t="n">
        <x:v>1.5</x:v>
      </x:c>
      <x:c r="K78" s="23" t="n">
        <x:v>-1.2039728043259361</x:v>
      </x:c>
      <x:c r="L78" s="23" t="str">
        <x:v>2025Q1</x:v>
      </x:c>
      <x:c r="M78" s="23" t="n">
        <x:v>141.5</x:v>
      </x:c>
      <x:c r="N78" s="23" t="str">
        <x:v>2026Q1</x:v>
      </x:c>
      <x:c r="O78" s="23" t="n">
        <x:v>158.4</x:v>
      </x:c>
      <x:c r="P78" s="23" t="n">
        <x:v>11.943462897526501</x:v>
      </x:c>
      <x:c r="Q78" s="23" t="n">
        <x:v>63.63</x:v>
      </x:c>
      <x:c r="R78" s="23" t="n">
        <x:v>21.29</x:v>
      </x:c>
      <x:c r="S78" s="23" t="n">
        <x:v>21.29</x:v>
      </x:c>
      <x:c r="T78" s="23" t="n">
        <x:v>1.2826850201266815</x:v>
      </x:c>
      <x:c r="U78" s="23" t="str">
        <x:v>历史加速 0.6ppt / 前瞻 2.9ppt</x:v>
      </x:c>
      <x:c r="V78" s="23" t="n">
        <x:v>168</x:v>
      </x:c>
      <x:c r="W78" s="23" t="str">
        <x:v>2026Q2</x:v>
      </x:c>
      <x:c r="X78" s="23" t="str">
        <x:v>F</x:v>
      </x:c>
      <x:c r="Y78" s="23" t="str">
        <x:v>Cisco official Q3 FY2026 earnings release</x:v>
      </x:c>
      <x:c r="Z78" s="23" t="n">
        <x:v>0.4</x:v>
      </x:c>
      <x:c r="AA78" s="23" t="n">
        <x:v>10.846085626328813</x:v>
      </x:c>
      <x:c r="AB78" s="23" t="n">
        <x:v>19.886</x:v>
      </x:c>
      <x:c r="AC78" s="23" t="n">
        <x:v>0.849</x:v>
      </x:c>
      <x:c r="AD78" s="23" t="n">
        <x:v>0.04269335210700996</x:v>
      </x:c>
      <x:c r="AE78" s="23" t="n">
        <x:v>19.037</x:v>
      </x:c>
      <x:c r="AF78" s="23" t="n">
        <x:v>30.05</x:v>
      </x:c>
      <x:c r="AG78" s="23" t="n">
        <x:v>-16.265</x:v>
      </x:c>
      <x:c r="AH78" s="22" t="str">
        <x:v>SEC Companyfacts</x:v>
      </x:c>
      <x:c r="AI78" s="24" t="str">
        <x:v>https://data.sec.gov/api/xbrl/companyfacts/CIK0000858877.json</x:v>
      </x:c>
      <x:c r="AJ78" s="24" t="str">
        <x:v>https://www.sec.gov/Archives/edgar/data/858877/000085887726000078/0000858877-26-000078-index.html</x:v>
      </x:c>
      <x:c r="AK78" s="24" t="str">
        <x:v>SEC Companyfacts CY2026Q1: revenue $15.841B, gross profit $10.080B, net income $3.373B</x:v>
      </x:c>
      <x:c r="AL78" s="24" t="str">
        <x:v>传统网络龙头, AI 数据中心追赶中 (Silicon One ASIC), 体量大但弹性低.</x:v>
      </x:c>
    </x:row>
    <x:row r="79">
      <x:c r="A79" s="22" t="str">
        <x:v>US</x:v>
      </x:c>
      <x:c r="B79" s="22" t="str">
        <x:v>MPWR</x:v>
      </x:c>
      <x:c r="C79" s="22" t="str">
        <x:v>Monolithic Power</x:v>
      </x:c>
      <x:c r="D79" s="22" t="str">
        <x:v>network</x:v>
      </x:c>
      <x:c r="E79" s="22" t="str">
        <x:v>电源管理</x:v>
      </x:c>
      <x:c r="F79" s="22" t="str">
        <x:v>Yes</x:v>
      </x:c>
      <x:c r="G79" s="22" t="str"/>
      <x:c r="H79" s="23" t="n">
        <x:v>8</x:v>
      </x:c>
      <x:c r="I79" s="23" t="n">
        <x:v>450</x:v>
      </x:c>
      <x:c r="J79" s="23" t="n">
        <x:v>2.5</x:v>
      </x:c>
      <x:c r="K79" s="23" t="n">
        <x:v>-0.6931471805599453</x:v>
      </x:c>
      <x:c r="L79" s="23" t="str">
        <x:v>2025Q1</x:v>
      </x:c>
      <x:c r="M79" s="23" t="n">
        <x:v>6.4</x:v>
      </x:c>
      <x:c r="N79" s="23" t="str">
        <x:v>2026Q1</x:v>
      </x:c>
      <x:c r="O79" s="23" t="n">
        <x:v>8</x:v>
      </x:c>
      <x:c r="P79" s="23" t="n">
        <x:v>25</x:v>
      </x:c>
      <x:c r="Q79" s="23" t="n">
        <x:v>55.34</x:v>
      </x:c>
      <x:c r="R79" s="23" t="n">
        <x:v>24.03</x:v>
      </x:c>
      <x:c r="S79" s="23" t="n">
        <x:v>24.03</x:v>
      </x:c>
      <x:c r="T79" s="23" t="n">
        <x:v>0.017429361179361447</x:v>
      </x:c>
      <x:c r="U79" s="23" t="str">
        <x:v>历史加速 -3.6ppt / 前瞻 8.5ppt</x:v>
      </x:c>
      <x:c r="V79" s="23" t="n">
        <x:v>9</x:v>
      </x:c>
      <x:c r="W79" s="23" t="str">
        <x:v>2026Q2</x:v>
      </x:c>
      <x:c r="X79" s="23" t="str">
        <x:v>F</x:v>
      </x:c>
      <x:c r="Y79" s="23" t="str">
        <x:v>Monolithic Power official GlobeNewswire release</x:v>
      </x:c>
      <x:c r="Z79" s="23" t="n">
        <x:v>0.4</x:v>
      </x:c>
      <x:c r="AA79" s="23" t="n">
        <x:v>7.642897943245286</x:v>
      </x:c>
      <x:c r="AB79" s="23" t="n">
        <x:v>0.638</x:v>
      </x:c>
      <x:c r="AC79" s="23" t="n">
        <x:v>0.058</x:v>
      </x:c>
      <x:c r="AD79" s="23" t="n">
        <x:v>0.09090909090909091</x:v>
      </x:c>
      <x:c r="AE79" s="23" t="n">
        <x:v>0.581</x:v>
      </x:c>
      <x:c r="AF79" s="23" t="n">
        <x:v>18.14</x:v>
      </x:c>
      <x:c r="AG79" s="23"/>
      <x:c r="AH79" s="22" t="str">
        <x:v>SEC Companyfacts</x:v>
      </x:c>
      <x:c r="AI79" s="24" t="str">
        <x:v>https://data.sec.gov/api/xbrl/companyfacts/CIK0001280452.json</x:v>
      </x:c>
      <x:c r="AJ79" s="24" t="str">
        <x:v>https://www.sec.gov/Archives/edgar/data/1280452/000143774926014647/0001437749-26-014647-index.html</x:v>
      </x:c>
      <x:c r="AK79" s="24" t="str">
        <x:v>SEC Companyfacts CY2026Q1: revenue $0.804B, gross profit $0.445B, net income $0.193B</x:v>
      </x:c>
      <x:c r="AL79" s="24" t="str">
        <x:v>AI 服务器电源管理芯片 (DrMOS/VRM), NVDA H100/B200 供应链关键.</x:v>
      </x:c>
    </x:row>
    <x:row r="80">
      <x:c r="A80" s="22" t="str">
        <x:v>US</x:v>
      </x:c>
      <x:c r="B80" s="22" t="str">
        <x:v>GLW</x:v>
      </x:c>
      <x:c r="C80" s="22" t="str">
        <x:v>Corning</x:v>
      </x:c>
      <x:c r="D80" s="22" t="str">
        <x:v>network</x:v>
      </x:c>
      <x:c r="E80" s="22" t="str">
        <x:v>光纤/玻璃</x:v>
      </x:c>
      <x:c r="F80" s="22" t="str">
        <x:v>Yes</x:v>
      </x:c>
      <x:c r="G80" s="22" t="str"/>
      <x:c r="H80" s="23" t="n">
        <x:v>7</x:v>
      </x:c>
      <x:c r="I80" s="23" t="n">
        <x:v>600</x:v>
      </x:c>
      <x:c r="J80" s="23" t="n">
        <x:v>2</x:v>
      </x:c>
      <x:c r="K80" s="23" t="n">
        <x:v>-0.916290731874155</x:v>
      </x:c>
      <x:c r="L80" s="23" t="str">
        <x:v>2025Q1</x:v>
      </x:c>
      <x:c r="M80" s="23" t="n">
        <x:v>34.5</x:v>
      </x:c>
      <x:c r="N80" s="23" t="str">
        <x:v>2026Q1</x:v>
      </x:c>
      <x:c r="O80" s="23" t="n">
        <x:v>41.4</x:v>
      </x:c>
      <x:c r="P80" s="23" t="n">
        <x:v>19.999999999999996</x:v>
      </x:c>
      <x:c r="Q80" s="23" t="n">
        <x:v>36.87</x:v>
      </x:c>
      <x:c r="R80" s="23" t="n">
        <x:v>9.85</x:v>
      </x:c>
      <x:c r="S80" s="23" t="n">
        <x:v>9.85</x:v>
      </x:c>
      <x:c r="T80" s="23" t="n">
        <x:v>-2.7982089614728545</x:v>
      </x:c>
      <x:c r="U80" s="23" t="str">
        <x:v>历史加速 -8.5ppt / 前瞻 10.6ppt</x:v>
      </x:c>
      <x:c r="V80" s="23" t="n">
        <x:v>46</x:v>
      </x:c>
      <x:c r="W80" s="23" t="str">
        <x:v>2026Q2</x:v>
      </x:c>
      <x:c r="X80" s="23" t="str">
        <x:v>公司指引</x:v>
      </x:c>
      <x:c r="Y80" s="23" t="str">
        <x:v>Corning Q1 2026 results</x:v>
      </x:c>
      <x:c r="Z80" s="23" t="n">
        <x:v>0.45</x:v>
      </x:c>
      <x:c r="AA80" s="23" t="n">
        <x:v>7.220194027939848</x:v>
      </x:c>
      <x:c r="AB80" s="23" t="n">
        <x:v>2.7</x:v>
      </x:c>
      <x:c r="AC80" s="23" t="n">
        <x:v>1.3</x:v>
      </x:c>
      <x:c r="AD80" s="23" t="n">
        <x:v>0.48148148148148145</x:v>
      </x:c>
      <x:c r="AE80" s="23" t="n">
        <x:v>1.4</x:v>
      </x:c>
      <x:c r="AF80" s="23" t="n">
        <x:v>8.45</x:v>
      </x:c>
      <x:c r="AG80" s="23" t="n">
        <x:v>-1.032</x:v>
      </x:c>
      <x:c r="AH80" s="22" t="str">
        <x:v>Corning 2025 Form 10-K / FY2025 results release</x:v>
      </x:c>
      <x:c r="AI80" s="24" t="str">
        <x:v>https://www.corning.com/media/worldwide/global/documents/corning_10-k_2025.pdf</x:v>
      </x:c>
      <x:c r="AJ80" s="24" t="str">
        <x:v>https://www.sec.gov/Archives/edgar/data/24741/000002474126000205/0000024741-26-000205-index.html</x:v>
      </x:c>
      <x:c r="AK80" s="24" t="str">
        <x:v>SEC Companyfacts CY2026Q1: revenue $4.144B, gross profit $1.528B, net income $0.408B</x:v>
      </x:c>
      <x:c r="AL80" s="24" t="str">
        <x:v>光纤连接 + Gorilla 玻璃, Nvidia 战略合作 (北卡州扩 10x 光通信产能).</x:v>
      </x:c>
    </x:row>
    <x:row r="81">
      <x:c r="A81" s="22" t="str">
        <x:v>US</x:v>
      </x:c>
      <x:c r="B81" s="22" t="str">
        <x:v>PWR</x:v>
      </x:c>
      <x:c r="C81" s="22" t="str">
        <x:v>Quanta Services</x:v>
      </x:c>
      <x:c r="D81" s="22" t="str">
        <x:v>dc_infra</x:v>
      </x:c>
      <x:c r="E81" s="22" t="str">
        <x:v>电力 EPC</x:v>
      </x:c>
      <x:c r="F81" s="22" t="str">
        <x:v>Yes</x:v>
      </x:c>
      <x:c r="G81" s="22" t="str"/>
      <x:c r="H81" s="23" t="n">
        <x:v>8</x:v>
      </x:c>
      <x:c r="I81" s="23" t="n">
        <x:v>600</x:v>
      </x:c>
      <x:c r="J81" s="23" t="n">
        <x:v>2</x:v>
      </x:c>
      <x:c r="K81" s="23" t="n">
        <x:v>-0.916290731874155</x:v>
      </x:c>
      <x:c r="L81" s="23" t="str">
        <x:v>2025Q1</x:v>
      </x:c>
      <x:c r="M81" s="23" t="n">
        <x:v>62.3</x:v>
      </x:c>
      <x:c r="N81" s="23" t="str">
        <x:v>2026Q1</x:v>
      </x:c>
      <x:c r="O81" s="23" t="n">
        <x:v>78.7</x:v>
      </x:c>
      <x:c r="P81" s="23" t="n">
        <x:v>26.32423756019262</x:v>
      </x:c>
      <x:c r="Q81" s="23" t="n">
        <x:v>14.06</x:v>
      </x:c>
      <x:c r="R81" s="23" t="n">
        <x:v>2.8</x:v>
      </x:c>
      <x:c r="S81" s="23" t="n">
        <x:v>2.8</x:v>
      </x:c>
      <x:c r="T81" s="23" t="n">
        <x:v>-9.117946019327295</x:v>
      </x:c>
      <x:c r="U81" s="23" t="str">
        <x:v>历史加速 -9.1ppt / 无forecast不扣分</x:v>
      </x:c>
      <x:c r="V81" s="23"/>
      <x:c r="W81" s="23" t="str">
        <x:v>2026Q2</x:v>
      </x:c>
      <x:c r="X81" s="23" t="str">
        <x:v>NA</x:v>
      </x:c>
      <x:c r="Y81" s="23" t="str">
        <x:v>没有季度级官方 forecast</x:v>
      </x:c>
      <x:c r="Z81" s="23" t="n">
        <x:v>0.2</x:v>
      </x:c>
      <x:c r="AA81" s="23" t="n">
        <x:v>6.820248796945505</x:v>
      </x:c>
      <x:c r="AB81" s="23" t="n">
        <x:v>1.576</x:v>
      </x:c>
      <x:c r="AC81" s="23" t="n">
        <x:v>0.435</x:v>
      </x:c>
      <x:c r="AD81" s="23" t="n">
        <x:v>0.2760152284263959</x:v>
      </x:c>
      <x:c r="AE81" s="23" t="n">
        <x:v>1.141</x:v>
      </x:c>
      <x:c r="AF81" s="23" t="n">
        <x:v>3.62</x:v>
      </x:c>
      <x:c r="AG81" s="23" t="n">
        <x:v>-0.331</x:v>
      </x:c>
      <x:c r="AH81" s="22" t="str">
        <x:v>SEC Companyfacts</x:v>
      </x:c>
      <x:c r="AI81" s="24" t="str">
        <x:v>https://data.sec.gov/api/xbrl/companyfacts/CIK0001050915.json</x:v>
      </x:c>
      <x:c r="AJ81" s="24" t="str">
        <x:v>https://www.sec.gov/Archives/edgar/data/1050915/000105091526000016/0001050915-26-000016-index.html</x:v>
      </x:c>
      <x:c r="AK81" s="24" t="str">
        <x:v>SEC Companyfacts CY2026Q1: revenue $7.875B, gross profit $1.107B, net income $0.221B</x:v>
      </x:c>
      <x:c r="AL81" s="24" t="str">
        <x:v>美国最大电力 EPC 工程商, 数据中心并网/输电线建设主力承包.</x:v>
      </x:c>
    </x:row>
    <x:row r="82">
      <x:c r="A82" s="22" t="str">
        <x:v>US</x:v>
      </x:c>
      <x:c r="B82" s="22" t="str">
        <x:v>EME</x:v>
      </x:c>
      <x:c r="C82" s="22" t="str">
        <x:v>EMCOR Group</x:v>
      </x:c>
      <x:c r="D82" s="22" t="str">
        <x:v>dc_infra</x:v>
      </x:c>
      <x:c r="E82" s="22" t="str">
        <x:v>机电工程</x:v>
      </x:c>
      <x:c r="F82" s="22" t="str">
        <x:v>Yes</x:v>
      </x:c>
      <x:c r="G82" s="22" t="str"/>
      <x:c r="H82" s="23" t="n">
        <x:v>7</x:v>
      </x:c>
      <x:c r="I82" s="23" t="n">
        <x:v>250</x:v>
      </x:c>
      <x:c r="J82" s="23" t="n">
        <x:v>2.5</x:v>
      </x:c>
      <x:c r="K82" s="23" t="n">
        <x:v>-0.6931471805599453</x:v>
      </x:c>
      <x:c r="L82" s="23" t="str">
        <x:v>2025Q1</x:v>
      </x:c>
      <x:c r="M82" s="23" t="n">
        <x:v>38.7</x:v>
      </x:c>
      <x:c r="N82" s="23" t="str">
        <x:v>2026Q1</x:v>
      </x:c>
      <x:c r="O82" s="23" t="n">
        <x:v>46.3</x:v>
      </x:c>
      <x:c r="P82" s="23" t="n">
        <x:v>19.638242894056823</x:v>
      </x:c>
      <x:c r="Q82" s="23" t="n">
        <x:v>18.67</x:v>
      </x:c>
      <x:c r="R82" s="23" t="n">
        <x:v>6.6</x:v>
      </x:c>
      <x:c r="S82" s="23" t="n">
        <x:v>6.6</x:v>
      </x:c>
      <x:c r="T82" s="23" t="n">
        <x:v>-1.783318150306223</x:v>
      </x:c>
      <x:c r="U82" s="23" t="str">
        <x:v>历史加速 -1.8ppt / 无forecast不扣分</x:v>
      </x:c>
      <x:c r="V82" s="23"/>
      <x:c r="W82" s="23" t="str">
        <x:v>2026Q2</x:v>
      </x:c>
      <x:c r="X82" s="23" t="str">
        <x:v>NA</x:v>
      </x:c>
      <x:c r="Y82" s="23" t="str">
        <x:v>未找到符合规范的真实公告/guidance/consensus 来源</x:v>
      </x:c>
      <x:c r="Z82" s="23" t="n">
        <x:v>0.2</x:v>
      </x:c>
      <x:c r="AA82" s="23" t="n">
        <x:v>6.010438361996431</x:v>
      </x:c>
      <x:c r="AB82" s="23" t="n">
        <x:v>0.9</x:v>
      </x:c>
      <x:c r="AC82" s="23" t="n">
        <x:v>0.078</x:v>
      </x:c>
      <x:c r="AD82" s="23" t="n">
        <x:v>0.08666666666666667</x:v>
      </x:c>
      <x:c r="AE82" s="23" t="n">
        <x:v>0.821</x:v>
      </x:c>
      <x:c r="AF82" s="23" t="n">
        <x:v>4.43</x:v>
      </x:c>
      <x:c r="AG82" s="23" t="n">
        <x:v>1.112</x:v>
      </x:c>
      <x:c r="AH82" s="22" t="str">
        <x:v>SEC Companyfacts</x:v>
      </x:c>
      <x:c r="AI82" s="24" t="str">
        <x:v>https://data.sec.gov/api/xbrl/companyfacts/CIK0000105634.json</x:v>
      </x:c>
      <x:c r="AJ82" s="24" t="str">
        <x:v>https://www.sec.gov/Archives/edgar/data/105634/000010563426000046/0000105634-26-000046-index.html</x:v>
      </x:c>
      <x:c r="AK82" s="24" t="str">
        <x:v>SEC Companyfacts CY2026Q1: revenue $4.628B, gross profit $0.864B, net income $0.305B</x:v>
      </x:c>
      <x:c r="AL82" s="24" t="str">
        <x:v>数据中心机电安装工程龙头, AI Capex 建设直接受益.</x:v>
      </x:c>
    </x:row>
    <x:row r="83">
      <x:c r="A83" s="22" t="str">
        <x:v>US</x:v>
      </x:c>
      <x:c r="B83" s="22" t="str">
        <x:v>FIX</x:v>
      </x:c>
      <x:c r="C83" s="22" t="str">
        <x:v>Comfort Systems</x:v>
      </x:c>
      <x:c r="D83" s="22" t="str">
        <x:v>dc_infra</x:v>
      </x:c>
      <x:c r="E83" s="22" t="str">
        <x:v>暖通工程</x:v>
      </x:c>
      <x:c r="F83" s="22" t="str">
        <x:v>Yes</x:v>
      </x:c>
      <x:c r="G83" s="22" t="str"/>
      <x:c r="H83" s="23" t="n">
        <x:v>7</x:v>
      </x:c>
      <x:c r="I83" s="23" t="n">
        <x:v>250</x:v>
      </x:c>
      <x:c r="J83" s="23" t="n">
        <x:v>3</x:v>
      </x:c>
      <x:c r="K83" s="23" t="n">
        <x:v>-0.5108256237659907</x:v>
      </x:c>
      <x:c r="L83" s="23" t="str">
        <x:v>2025Q1</x:v>
      </x:c>
      <x:c r="M83" s="23" t="n">
        <x:v>18.3</x:v>
      </x:c>
      <x:c r="N83" s="23" t="str">
        <x:v>2026Q1</x:v>
      </x:c>
      <x:c r="O83" s="23" t="n">
        <x:v>28.7</x:v>
      </x:c>
      <x:c r="P83" s="23" t="n">
        <x:v>56.830601092896174</x:v>
      </x:c>
      <x:c r="Q83" s="23" t="n">
        <x:v>26.33</x:v>
      </x:c>
      <x:c r="R83" s="23" t="n">
        <x:v>12.93</x:v>
      </x:c>
      <x:c r="S83" s="23" t="n">
        <x:v>12.93</x:v>
      </x:c>
      <x:c r="T83" s="23" t="n">
        <x:v>-160.0269446752789</x:v>
      </x:c>
      <x:c r="U83" s="23" t="str">
        <x:v>历史加速 -160.0ppt / 无forecast不扣分</x:v>
      </x:c>
      <x:c r="V83" s="23"/>
      <x:c r="W83" s="23" t="str">
        <x:v>2026Q2</x:v>
      </x:c>
      <x:c r="X83" s="23" t="str">
        <x:v>NA</x:v>
      </x:c>
      <x:c r="Y83" s="23" t="str">
        <x:v>没有季度级官方 forecast</x:v>
      </x:c>
      <x:c r="Z83" s="23" t="n">
        <x:v>0.2</x:v>
      </x:c>
      <x:c r="AA83" s="23" t="n">
        <x:v>5.999853221725194</x:v>
      </x:c>
      <x:c r="AB83" s="23" t="n">
        <x:v>0.64</x:v>
      </x:c>
      <x:c r="AC83" s="23" t="n">
        <x:v>0.095</x:v>
      </x:c>
      <x:c r="AD83" s="23" t="n">
        <x:v>0.1484375</x:v>
      </x:c>
      <x:c r="AE83" s="23" t="n">
        <x:v>0.545</x:v>
      </x:c>
      <x:c r="AF83" s="23" t="n">
        <x:v>4.75</x:v>
      </x:c>
      <x:c r="AG83" s="23" t="n">
        <x:v>0.837</x:v>
      </x:c>
      <x:c r="AH83" s="22" t="str">
        <x:v>SEC Companyfacts</x:v>
      </x:c>
      <x:c r="AI83" s="24" t="str">
        <x:v>https://data.sec.gov/api/xbrl/companyfacts/CIK0001035983.json</x:v>
      </x:c>
      <x:c r="AJ83" s="24" t="str">
        <x:v>https://www.sec.gov/Archives/edgar/data/1035983/000110465926047689/0001104659-26-047689-index.html</x:v>
      </x:c>
      <x:c r="AK83" s="24" t="str">
        <x:v>SEC Companyfacts CY2026Q1: revenue $2.865B, gross profit $0.754B, net income $0.370B</x:v>
      </x:c>
      <x:c r="AL83" s="24" t="str">
        <x:v>暖通冷却施工龙头 (HVAC), 数据中心液冷/精密温控 EPC.</x:v>
      </x:c>
    </x:row>
    <x:row r="84">
      <x:c r="A84" s="22" t="str">
        <x:v>US</x:v>
      </x:c>
      <x:c r="B84" s="22" t="str">
        <x:v>MOD</x:v>
      </x:c>
      <x:c r="C84" s="22" t="str">
        <x:v>Modine Manufacturing</x:v>
      </x:c>
      <x:c r="D84" s="22" t="str">
        <x:v>dc_infra</x:v>
      </x:c>
      <x:c r="E84" s="22" t="str">
        <x:v>热管理</x:v>
      </x:c>
      <x:c r="F84" s="22" t="str">
        <x:v>Yes</x:v>
      </x:c>
      <x:c r="G84" s="22" t="str"/>
      <x:c r="H84" s="23" t="n">
        <x:v>7</x:v>
      </x:c>
      <x:c r="I84" s="23" t="n">
        <x:v>80</x:v>
      </x:c>
      <x:c r="J84" s="23" t="n">
        <x:v>3.5</x:v>
      </x:c>
      <x:c r="K84" s="23" t="n">
        <x:v>-0.35667494393873245</x:v>
      </x:c>
      <x:c r="L84" s="23" t="str">
        <x:v>2025Q1</x:v>
      </x:c>
      <x:c r="M84" s="23" t="n">
        <x:v>9.5</x:v>
      </x:c>
      <x:c r="N84" s="23" t="str">
        <x:v>2026Q1</x:v>
      </x:c>
      <x:c r="O84" s="23" t="n">
        <x:v>9.5</x:v>
      </x:c>
      <x:c r="P84" s="23" t="n">
        <x:v>0</x:v>
      </x:c>
      <x:c r="Q84" s="23" t="n">
        <x:v>22.5</x:v>
      </x:c>
      <x:c r="R84" s="23" t="n">
        <x:v>7.7</x:v>
      </x:c>
      <x:c r="S84" s="23" t="n">
        <x:v>7.7</x:v>
      </x:c>
      <x:c r="T84" s="23" t="n">
        <x:v>23.17046664827882</x:v>
      </x:c>
      <x:c r="U84" s="23" t="str">
        <x:v>历史加速 23.2ppt / 无forecast不扣分</x:v>
      </x:c>
      <x:c r="V84" s="23"/>
      <x:c r="W84" s="23" t="str">
        <x:v>2026Q2</x:v>
      </x:c>
      <x:c r="X84" s="23" t="str">
        <x:v>NA</x:v>
      </x:c>
      <x:c r="Y84" s="23" t="str">
        <x:v>没有季度级官方 forecast</x:v>
      </x:c>
      <x:c r="Z84" s="23" t="n">
        <x:v>0.2</x:v>
      </x:c>
      <x:c r="AA84" s="23" t="n">
        <x:v>4.666697296984256</x:v>
      </x:c>
      <x:c r="AB84" s="23" t="n">
        <x:v>0.215</x:v>
      </x:c>
      <x:c r="AC84" s="23" t="n">
        <x:v>0.088</x:v>
      </x:c>
      <x:c r="AD84" s="23" t="n">
        <x:v>0.40930232558139534</x:v>
      </x:c>
      <x:c r="AE84" s="23" t="n">
        <x:v>0.127</x:v>
      </x:c>
      <x:c r="AF84" s="23" t="n">
        <x:v>3.34</x:v>
      </x:c>
      <x:c r="AG84" s="23" t="n">
        <x:v>-0.054</x:v>
      </x:c>
      <x:c r="AH84" s="22" t="str">
        <x:v>SEC Companyfacts</x:v>
      </x:c>
      <x:c r="AI84" s="24" t="str">
        <x:v>https://data.sec.gov/api/xbrl/companyfacts/CIK0000067347.json</x:v>
      </x:c>
      <x:c r="AJ84" s="24" t="str">
        <x:v>https://www.prnewswire.com/news-releases/modine-reports-fourth-quarter-fiscal-2026-results-302782279.html</x:v>
      </x:c>
      <x:c r="AK84" s="24" t="str">
        <x:v>FQ4 FY2026 (Jan-Mar 2026): 营收$9.5亿同比+47%创纪录, 数据中心冷却需求强劲; 毛利率因产能扩张+关税压力降至22.5%; 全年营收$31.8亿</x:v>
      </x:c>
      <x:c r="AL84" s="24" t="str">
        <x:v>热管理/冷却系统, 数据中心液冷渗透核心受益.</x:v>
      </x:c>
    </x:row>
    <x:row r="85">
      <x:c r="A85" s="22" t="str">
        <x:v>US</x:v>
      </x:c>
      <x:c r="B85" s="22" t="str">
        <x:v>TT</x:v>
      </x:c>
      <x:c r="C85" s="22" t="str">
        <x:v>Trane Technologies</x:v>
      </x:c>
      <x:c r="D85" s="22" t="str">
        <x:v>dc_infra</x:v>
      </x:c>
      <x:c r="E85" s="22" t="str">
        <x:v>暖通设备</x:v>
      </x:c>
      <x:c r="F85" s="22" t="str">
        <x:v>Yes</x:v>
      </x:c>
      <x:c r="G85" s="22" t="str"/>
      <x:c r="H85" s="23" t="n">
        <x:v>7</x:v>
      </x:c>
      <x:c r="I85" s="23" t="n">
        <x:v>1100</x:v>
      </x:c>
      <x:c r="J85" s="23" t="n">
        <x:v>1.5</x:v>
      </x:c>
      <x:c r="K85" s="23" t="n">
        <x:v>-1.2039728043259361</x:v>
      </x:c>
      <x:c r="L85" s="23" t="str">
        <x:v>2025Q1</x:v>
      </x:c>
      <x:c r="M85" s="23" t="n">
        <x:v>46.9</x:v>
      </x:c>
      <x:c r="N85" s="23" t="str">
        <x:v>2026Q1</x:v>
      </x:c>
      <x:c r="O85" s="23" t="n">
        <x:v>49.7</x:v>
      </x:c>
      <x:c r="P85" s="23" t="n">
        <x:v>5.9701492537313605</x:v>
      </x:c>
      <x:c r="Q85" s="23" t="n">
        <x:v>34.77</x:v>
      </x:c>
      <x:c r="R85" s="23" t="n">
        <x:v>11.86</x:v>
      </x:c>
      <x:c r="S85" s="23" t="n">
        <x:v>11.86</x:v>
      </x:c>
      <x:c r="T85" s="23" t="n">
        <x:v>-18.09386047140089</x:v>
      </x:c>
      <x:c r="U85" s="23" t="str">
        <x:v>历史加速 -18.1ppt / 无forecast不扣分</x:v>
      </x:c>
      <x:c r="V85" s="23"/>
      <x:c r="W85" s="23" t="str">
        <x:v>2026Q2</x:v>
      </x:c>
      <x:c r="X85" s="23" t="str">
        <x:v>NA</x:v>
      </x:c>
      <x:c r="Y85" s="23" t="str">
        <x:v>没有季度级官方 forecast</x:v>
      </x:c>
      <x:c r="Z85" s="23" t="n">
        <x:v>0.2</x:v>
      </x:c>
      <x:c r="AA85" s="23" t="n">
        <x:v>8.030377993295021</x:v>
      </x:c>
      <x:c r="AB85" s="23" t="n">
        <x:v>2.39</x:v>
      </x:c>
      <x:c r="AC85" s="23" t="n">
        <x:v>0.301</x:v>
      </x:c>
      <x:c r="AD85" s="23" t="n">
        <x:v>0.12594142259414226</x:v>
      </x:c>
      <x:c r="AE85" s="23" t="n">
        <x:v>2.089</x:v>
      </x:c>
      <x:c r="AF85" s="23" t="n">
        <x:v>10.51</x:v>
      </x:c>
      <x:c r="AG85" s="23" t="n">
        <x:v>-3.025</x:v>
      </x:c>
      <x:c r="AH85" s="22" t="str">
        <x:v>SEC Companyfacts</x:v>
      </x:c>
      <x:c r="AI85" s="24" t="str">
        <x:v>https://data.sec.gov/api/xbrl/companyfacts/CIK0001466258.json</x:v>
      </x:c>
      <x:c r="AJ85" s="24" t="str">
        <x:v>https://www.sec.gov/Archives/edgar/data/1466258/000162828026028743/0001628280-26-028743-index.html</x:v>
      </x:c>
      <x:c r="AK85" s="24" t="str">
        <x:v>SEC Companyfacts CY2026Q1: revenue $4.969B, gross profit $1.728B (revenue minus CostOfGoodsAndServicesSold $3.241B), net income $0.590B</x:v>
      </x:c>
      <x:c r="AL85" s="24" t="str">
        <x:v>全球暖通空调龙头, 数据中心冷却系统集成.</x:v>
      </x:c>
    </x:row>
    <x:row r="86">
      <x:c r="A86" s="22" t="str">
        <x:v>US</x:v>
      </x:c>
      <x:c r="B86" s="22" t="str">
        <x:v>JCI</x:v>
      </x:c>
      <x:c r="C86" s="22" t="str">
        <x:v>Johnson Controls</x:v>
      </x:c>
      <x:c r="D86" s="22" t="str">
        <x:v>dc_infra</x:v>
      </x:c>
      <x:c r="E86" s="22" t="str">
        <x:v>楼宇/暖通</x:v>
      </x:c>
      <x:c r="F86" s="22" t="str">
        <x:v>Yes</x:v>
      </x:c>
      <x:c r="G86" s="22" t="str"/>
      <x:c r="H86" s="23" t="n">
        <x:v>6</x:v>
      </x:c>
      <x:c r="I86" s="23" t="n">
        <x:v>700</x:v>
      </x:c>
      <x:c r="J86" s="23" t="n">
        <x:v>2</x:v>
      </x:c>
      <x:c r="K86" s="23" t="n">
        <x:v>-0.916290731874155</x:v>
      </x:c>
      <x:c r="L86" s="23" t="str">
        <x:v>2025Q1</x:v>
      </x:c>
      <x:c r="M86" s="23" t="n">
        <x:v>56.8</x:v>
      </x:c>
      <x:c r="N86" s="23" t="str">
        <x:v>2026Q1</x:v>
      </x:c>
      <x:c r="O86" s="23" t="n">
        <x:v>61.4</x:v>
      </x:c>
      <x:c r="P86" s="23" t="n">
        <x:v>8.098591549295776</x:v>
      </x:c>
      <x:c r="Q86" s="23" t="n">
        <x:v>36.83</x:v>
      </x:c>
      <x:c r="R86" s="23" t="n">
        <x:v>9.98</x:v>
      </x:c>
      <x:c r="S86" s="23" t="n">
        <x:v>9.98</x:v>
      </x:c>
      <x:c r="T86" s="23" t="n">
        <x:v>-2.7153497452475137</x:v>
      </x:c>
      <x:c r="U86" s="23" t="str">
        <x:v>历史加速 -2.7ppt / 无forecast不扣分</x:v>
      </x:c>
      <x:c r="V86" s="23"/>
      <x:c r="W86" s="23" t="str">
        <x:v>2026Q2</x:v>
      </x:c>
      <x:c r="X86" s="23" t="str">
        <x:v>NA</x:v>
      </x:c>
      <x:c r="Y86" s="23" t="str">
        <x:v>没有季度级官方 forecast</x:v>
      </x:c>
      <x:c r="Z86" s="23" t="n">
        <x:v>0.2</x:v>
      </x:c>
      <x:c r="AA86" s="23" t="n">
        <x:v>7.101987435308152</x:v>
      </x:c>
      <x:c r="AB86" s="23" t="n">
        <x:v>1.856</x:v>
      </x:c>
      <x:c r="AC86" s="23" t="n">
        <x:v>0.446</x:v>
      </x:c>
      <x:c r="AD86" s="23" t="n">
        <x:v>0.24030172413793102</x:v>
      </x:c>
      <x:c r="AE86" s="23" t="n">
        <x:v>1.41</x:v>
      </x:c>
      <x:c r="AF86" s="23" t="n">
        <x:v>5.74</x:v>
      </x:c>
      <x:c r="AG86" s="23" t="n">
        <x:v>-7.773</x:v>
      </x:c>
      <x:c r="AH86" s="22" t="str">
        <x:v>SEC Companyfacts</x:v>
      </x:c>
      <x:c r="AI86" s="24" t="str">
        <x:v>https://data.sec.gov/api/xbrl/companyfacts/CIK0000833444.json</x:v>
      </x:c>
      <x:c r="AJ86" s="24" t="str">
        <x:v>https://www.sec.gov/Archives/edgar/data/833444/000083344426000050/0000833444-26-000050-index.html</x:v>
      </x:c>
      <x:c r="AK86" s="24" t="str">
        <x:v>SEC Companyfacts CY2026Q1: revenue $6.142B, gross profit $2.262B, net income $0.613B</x:v>
      </x:c>
      <x:c r="AL86" s="24" t="str">
        <x:v>楼宇自动化 + 暖通, 数据中心 BMS / HVAC 集成.</x:v>
      </x:c>
    </x:row>
    <x:row r="87">
      <x:c r="A87" s="22" t="str">
        <x:v>US</x:v>
      </x:c>
      <x:c r="B87" s="22" t="str">
        <x:v>HUBB</x:v>
      </x:c>
      <x:c r="C87" s="22" t="str">
        <x:v>Hubbell</x:v>
      </x:c>
      <x:c r="D87" s="22" t="str">
        <x:v>dc_infra</x:v>
      </x:c>
      <x:c r="E87" s="22" t="str">
        <x:v>电气连接</x:v>
      </x:c>
      <x:c r="F87" s="22" t="str">
        <x:v>Yes</x:v>
      </x:c>
      <x:c r="G87" s="22" t="str"/>
      <x:c r="H87" s="23" t="n">
        <x:v>7</x:v>
      </x:c>
      <x:c r="I87" s="23" t="n">
        <x:v>250</x:v>
      </x:c>
      <x:c r="J87" s="23" t="n">
        <x:v>2</x:v>
      </x:c>
      <x:c r="K87" s="23" t="n">
        <x:v>-0.916290731874155</x:v>
      </x:c>
      <x:c r="L87" s="23" t="str">
        <x:v>2025Q1</x:v>
      </x:c>
      <x:c r="M87" s="23" t="n">
        <x:v>13.7</x:v>
      </x:c>
      <x:c r="N87" s="23" t="str">
        <x:v>2026Q1</x:v>
      </x:c>
      <x:c r="O87" s="23" t="n">
        <x:v>15.2</x:v>
      </x:c>
      <x:c r="P87" s="23" t="n">
        <x:v>10.948905109489049</x:v>
      </x:c>
      <x:c r="Q87" s="23" t="n">
        <x:v>33.32</x:v>
      </x:c>
      <x:c r="R87" s="23" t="n">
        <x:v>11.99</x:v>
      </x:c>
      <x:c r="S87" s="23" t="n">
        <x:v>11.99</x:v>
      </x:c>
      <x:c r="T87" s="23" t="n">
        <x:v>-4.016896139759018</x:v>
      </x:c>
      <x:c r="U87" s="23" t="str">
        <x:v>历史加速 -4.0ppt / 无forecast不扣分</x:v>
      </x:c>
      <x:c r="V87" s="23"/>
      <x:c r="W87" s="23" t="str">
        <x:v>2026Q2</x:v>
      </x:c>
      <x:c r="X87" s="23" t="str">
        <x:v>NA</x:v>
      </x:c>
      <x:c r="Y87" s="23" t="str">
        <x:v>没有季度级官方 forecast</x:v>
      </x:c>
      <x:c r="Z87" s="23" t="n">
        <x:v>0.2</x:v>
      </x:c>
      <x:c r="AA87" s="23" t="n">
        <x:v>6.536315272373469</x:v>
      </x:c>
      <x:c r="AB87" s="23" t="n">
        <x:v>0.881</x:v>
      </x:c>
      <x:c r="AC87" s="23" t="n">
        <x:v>0.166</x:v>
      </x:c>
      <x:c r="AD87" s="23" t="n">
        <x:v>0.18842224744608402</x:v>
      </x:c>
      <x:c r="AE87" s="23" t="n">
        <x:v>0.715</x:v>
      </x:c>
      <x:c r="AF87" s="23" t="n">
        <x:v>11.76</x:v>
      </x:c>
      <x:c r="AG87" s="23" t="n">
        <x:v>-0.96</x:v>
      </x:c>
      <x:c r="AH87" s="22" t="str">
        <x:v>SEC Companyfacts</x:v>
      </x:c>
      <x:c r="AI87" s="24" t="str">
        <x:v>https://data.sec.gov/api/xbrl/companyfacts/CIK0000048898.json</x:v>
      </x:c>
      <x:c r="AJ87" s="24" t="str">
        <x:v>https://www.sec.gov/Archives/edgar/data/48898/000162828026029110/0001628280-26-029110-index.html</x:v>
      </x:c>
      <x:c r="AK87" s="24" t="str">
        <x:v>SEC Companyfacts CY2026Q1: revenue $1.517B, gross profit $0.505B, net income $0.182B</x:v>
      </x:c>
      <x:c r="AL87" s="24" t="str">
        <x:v>电气连接设备, 数据中心配电/开关柜/连接器配套.</x:v>
      </x:c>
    </x:row>
    <x:row r="88">
      <x:c r="A88" s="22" t="str">
        <x:v>US</x:v>
      </x:c>
      <x:c r="B88" s="22" t="str">
        <x:v>POWL</x:v>
      </x:c>
      <x:c r="C88" s="22" t="str">
        <x:v>Powell Industries</x:v>
      </x:c>
      <x:c r="D88" s="22" t="str">
        <x:v>dc_infra</x:v>
      </x:c>
      <x:c r="E88" s="22" t="str">
        <x:v>开关柜</x:v>
      </x:c>
      <x:c r="F88" s="22" t="str">
        <x:v>Yes</x:v>
      </x:c>
      <x:c r="G88" s="22" t="str"/>
      <x:c r="H88" s="23" t="n">
        <x:v>7</x:v>
      </x:c>
      <x:c r="I88" s="23" t="n">
        <x:v>50</x:v>
      </x:c>
      <x:c r="J88" s="23" t="n">
        <x:v>4.5</x:v>
      </x:c>
      <x:c r="K88" s="23" t="n">
        <x:v>-0.10536051565782628</x:v>
      </x:c>
      <x:c r="L88" s="23" t="str">
        <x:v>2025Q1</x:v>
      </x:c>
      <x:c r="M88" s="23" t="n">
        <x:v>2.8</x:v>
      </x:c>
      <x:c r="N88" s="23" t="str">
        <x:v>2026Q1</x:v>
      </x:c>
      <x:c r="O88" s="23" t="n">
        <x:v>3</x:v>
      </x:c>
      <x:c r="P88" s="23" t="n">
        <x:v>7.14285714285714</x:v>
      </x:c>
      <x:c r="Q88" s="23" t="n">
        <x:v>29.65</x:v>
      </x:c>
      <x:c r="R88" s="23" t="n">
        <x:v>15.47</x:v>
      </x:c>
      <x:c r="S88" s="23" t="n">
        <x:v>15.47</x:v>
      </x:c>
      <x:c r="T88" s="23" t="n">
        <x:v>1.3177339901477798</x:v>
      </x:c>
      <x:c r="U88" s="23" t="str">
        <x:v>历史加速 1.3ppt / 无forecast不扣分</x:v>
      </x:c>
      <x:c r="V88" s="23"/>
      <x:c r="W88" s="23" t="str">
        <x:v>2026Q2</x:v>
      </x:c>
      <x:c r="X88" s="23" t="str">
        <x:v>NA</x:v>
      </x:c>
      <x:c r="Y88" s="23" t="str">
        <x:v>Powell Industries Q2 FY2026 results</x:v>
      </x:c>
      <x:c r="Z88" s="23" t="n">
        <x:v>0.2</x:v>
      </x:c>
      <x:c r="AA88" s="23" t="n">
        <x:v>5.159851271995448</x:v>
      </x:c>
      <x:c r="AB88" s="23" t="n">
        <x:v>0.183</x:v>
      </x:c>
      <x:c r="AC88" s="23" t="n">
        <x:v>0.008</x:v>
      </x:c>
      <x:c r="AD88" s="23" t="n">
        <x:v>0.04371584699453552</x:v>
      </x:c>
      <x:c r="AE88" s="23" t="n">
        <x:v>0.175</x:v>
      </x:c>
      <x:c r="AF88" s="23" t="n">
        <x:v>14.56</x:v>
      </x:c>
      <x:c r="AG88" s="23" t="n">
        <x:v>0.45</x:v>
      </x:c>
      <x:c r="AH88" s="22" t="str">
        <x:v>SEC Companyfacts</x:v>
      </x:c>
      <x:c r="AI88" s="24" t="str">
        <x:v>https://data.sec.gov/api/xbrl/companyfacts/CIK0000080420.json</x:v>
      </x:c>
      <x:c r="AJ88" s="24" t="str">
        <x:v>https://www.sec.gov/Archives/edgar/data/80420/000008042026000070/0000080420-26-000070-index.html</x:v>
      </x:c>
      <x:c r="AK88" s="24" t="str">
        <x:v>SEC Companyfacts CY2026Q1: revenue $0.297B, gross profit $0.088B, net income $0.046B</x:v>
      </x:c>
      <x:c r="AL88" s="24" t="str">
        <x:v>中高压开关柜专家, 数据中心 + LNG 配电关键设备.</x:v>
      </x:c>
    </x:row>
    <x:row r="89">
      <x:c r="A89" s="22" t="str">
        <x:v>US</x:v>
      </x:c>
      <x:c r="B89" s="22" t="str">
        <x:v>VST</x:v>
      </x:c>
      <x:c r="C89" s="22" t="str">
        <x:v>Vistra</x:v>
      </x:c>
      <x:c r="D89" s="22" t="str">
        <x:v>power</x:v>
      </x:c>
      <x:c r="E89" s="22" t="str">
        <x:v>独立电力</x:v>
      </x:c>
      <x:c r="F89" s="22" t="str">
        <x:v>Yes</x:v>
      </x:c>
      <x:c r="G89" s="22" t="str"/>
      <x:c r="H89" s="23" t="n">
        <x:v>8</x:v>
      </x:c>
      <x:c r="I89" s="23" t="n">
        <x:v>800</x:v>
      </x:c>
      <x:c r="J89" s="23" t="n">
        <x:v>2.5</x:v>
      </x:c>
      <x:c r="K89" s="23" t="n">
        <x:v>-0.6931471805599453</x:v>
      </x:c>
      <x:c r="L89" s="23" t="str">
        <x:v>2025Q1</x:v>
      </x:c>
      <x:c r="M89" s="23" t="n">
        <x:v>39.3</x:v>
      </x:c>
      <x:c r="N89" s="23" t="str">
        <x:v>2026Q1</x:v>
      </x:c>
      <x:c r="O89" s="23" t="n">
        <x:v>56.4</x:v>
      </x:c>
      <x:c r="P89" s="23" t="n">
        <x:v>43.51145038167941</x:v>
      </x:c>
      <x:c r="Q89" s="23" t="n">
        <x:v>55.14</x:v>
      </x:c>
      <x:c r="R89" s="23" t="n">
        <x:v>18.24</x:v>
      </x:c>
      <x:c r="S89" s="23" t="n">
        <x:v>18.24</x:v>
      </x:c>
      <x:c r="T89" s="23" t="n">
        <x:v>-4.893323900370733</x:v>
      </x:c>
      <x:c r="U89" s="23" t="str">
        <x:v>历史加速 -4.9ppt / 无forecast不扣分</x:v>
      </x:c>
      <x:c r="V89" s="23"/>
      <x:c r="W89" s="23" t="str">
        <x:v>2026Q2</x:v>
      </x:c>
      <x:c r="X89" s="23" t="str">
        <x:v>NA</x:v>
      </x:c>
      <x:c r="Y89" s="23" t="str">
        <x:v>没有季度级官方 forecast</x:v>
      </x:c>
      <x:c r="Z89" s="23" t="n">
        <x:v>0.35</x:v>
      </x:c>
      <x:c r="AA89" s="23" t="n">
        <x:v>8.183363019861334</x:v>
      </x:c>
      <x:c r="AB89" s="23" t="n">
        <x:v>5.453</x:v>
      </x:c>
      <x:c r="AC89" s="23" t="n">
        <x:v>1.676</x:v>
      </x:c>
      <x:c r="AD89" s="23" t="n">
        <x:v>0.3073537502292316</x:v>
      </x:c>
      <x:c r="AE89" s="23" t="n">
        <x:v>3.777</x:v>
      </x:c>
      <x:c r="AF89" s="23" t="n">
        <x:v>16.74</x:v>
      </x:c>
      <x:c r="AG89" s="23" t="n">
        <x:v>-16.258</x:v>
      </x:c>
      <x:c r="AH89" s="22" t="str">
        <x:v>SEC Companyfacts</x:v>
      </x:c>
      <x:c r="AI89" s="24" t="str">
        <x:v>https://data.sec.gov/api/xbrl/companyfacts/CIK0001692819.json</x:v>
      </x:c>
      <x:c r="AJ89" s="24" t="str">
        <x:v>https://www.sec.gov/Archives/edgar/data/1692819/000169281926000014/0001692819-26-000014-index.html</x:v>
      </x:c>
      <x:c r="AK89" s="24" t="str">
        <x:v>Vistra IR Q1 2026 results: operating revenues $5.640B, gross profit $3.110B (operating revenues minus fuel, purchased power costs, and delivery fees $2.530B), net income $1.029B</x:v>
      </x:c>
      <x:c r="AL89" s="24" t="str">
        <x:v>美国最大独立电力运营商, 核 + 燃气 + 可再生组合, AI 用电直供数据中心.</x:v>
      </x:c>
    </x:row>
    <x:row r="90">
      <x:c r="A90" s="22" t="str">
        <x:v>US</x:v>
      </x:c>
      <x:c r="B90" s="22" t="str">
        <x:v>NRG</x:v>
      </x:c>
      <x:c r="C90" s="22" t="str">
        <x:v>NRG Energy</x:v>
      </x:c>
      <x:c r="D90" s="22" t="str">
        <x:v>power</x:v>
      </x:c>
      <x:c r="E90" s="22" t="str">
        <x:v>零售电力</x:v>
      </x:c>
      <x:c r="F90" s="22" t="str">
        <x:v>Yes</x:v>
      </x:c>
      <x:c r="G90" s="22" t="str"/>
      <x:c r="H90" s="23" t="n">
        <x:v>7</x:v>
      </x:c>
      <x:c r="I90" s="23" t="n">
        <x:v>250</x:v>
      </x:c>
      <x:c r="J90" s="23" t="n">
        <x:v>2</x:v>
      </x:c>
      <x:c r="K90" s="23" t="n">
        <x:v>-0.916290731874155</x:v>
      </x:c>
      <x:c r="L90" s="23" t="str">
        <x:v>2025Q1</x:v>
      </x:c>
      <x:c r="M90" s="23" t="n">
        <x:v>85.8</x:v>
      </x:c>
      <x:c r="N90" s="23" t="str">
        <x:v>2026Q1</x:v>
      </x:c>
      <x:c r="O90" s="23" t="n">
        <x:v>102.6</x:v>
      </x:c>
      <x:c r="P90" s="23" t="n">
        <x:v>19.580419580419584</x:v>
      </x:c>
      <x:c r="Q90" s="23" t="n">
        <x:v>13.63</x:v>
      </x:c>
      <x:c r="R90" s="23" t="n">
        <x:v>1.22</x:v>
      </x:c>
      <x:c r="S90" s="23" t="n">
        <x:v>1.22</x:v>
      </x:c>
      <x:c r="T90" s="23" t="n">
        <x:v>21.100154816176182</x:v>
      </x:c>
      <x:c r="U90" s="23" t="str">
        <x:v>历史加速 21.1ppt / 无forecast不扣分</x:v>
      </x:c>
      <x:c r="V90" s="23"/>
      <x:c r="W90" s="23" t="str">
        <x:v>2026Q2</x:v>
      </x:c>
      <x:c r="X90" s="23" t="str">
        <x:v>NA</x:v>
      </x:c>
      <x:c r="Y90" s="23" t="str">
        <x:v>没有季度级官方 forecast</x:v>
      </x:c>
      <x:c r="Z90" s="23" t="n">
        <x:v>0.45</x:v>
      </x:c>
      <x:c r="AA90" s="23" t="n">
        <x:v>5.121460917862246</x:v>
      </x:c>
      <x:c r="AB90" s="23" t="n">
        <x:v>-0.221</x:v>
      </x:c>
      <x:c r="AC90" s="23" t="n">
        <x:v>0.598</x:v>
      </x:c>
      <x:c r="AD90" s="23"/>
      <x:c r="AE90" s="23" t="n">
        <x:v>-0.819</x:v>
      </x:c>
      <x:c r="AF90" s="23" t="n">
        <x:v>-2</x:v>
      </x:c>
      <x:c r="AG90" s="23" t="n">
        <x:v>-11.868</x:v>
      </x:c>
      <x:c r="AH90" s="22" t="str">
        <x:v>SEC Companyfacts</x:v>
      </x:c>
      <x:c r="AI90" s="24" t="str">
        <x:v>https://data.sec.gov/api/xbrl/companyfacts/CIK0001013871.json</x:v>
      </x:c>
      <x:c r="AJ90" s="24" t="str">
        <x:v>https://www.sec.gov/Archives/edgar/data/1013871/000101387126000012/0001013871-26-000012-index.html</x:v>
      </x:c>
      <x:c r="AK90" s="24" t="str">
        <x:v>SEC Companyfacts CY2026Q1: revenue $10.256B, gross profit $1.398B (revenue minus CostOfGoodsAndServiceExcludingDepreciationDepletionAndAmortization $8.858B), net income $0.125B</x:v>
      </x:c>
      <x:c r="AL90" s="24" t="str">
        <x:v>美国零售电力 + 燃气发电, 与超大数据中心客户长协合作.</x:v>
      </x:c>
    </x:row>
    <x:row r="91">
      <x:c r="A91" s="22" t="str">
        <x:v>US</x:v>
      </x:c>
      <x:c r="B91" s="22" t="str">
        <x:v>KMI</x:v>
      </x:c>
      <x:c r="C91" s="22" t="str">
        <x:v>Kinder Morgan</x:v>
      </x:c>
      <x:c r="D91" s="22" t="str">
        <x:v>power</x:v>
      </x:c>
      <x:c r="E91" s="22" t="str">
        <x:v>天然气管道</x:v>
      </x:c>
      <x:c r="F91" s="22" t="str">
        <x:v>Yes</x:v>
      </x:c>
      <x:c r="G91" s="22" t="str"/>
      <x:c r="H91" s="23" t="n">
        <x:v>6</x:v>
      </x:c>
      <x:c r="I91" s="23" t="n">
        <x:v>850</x:v>
      </x:c>
      <x:c r="J91" s="23" t="n">
        <x:v>1.5</x:v>
      </x:c>
      <x:c r="K91" s="23" t="n">
        <x:v>-1.2039728043259361</x:v>
      </x:c>
      <x:c r="L91" s="23" t="str">
        <x:v>2025Q1</x:v>
      </x:c>
      <x:c r="M91" s="23" t="n">
        <x:v>42.4</x:v>
      </x:c>
      <x:c r="N91" s="23" t="str">
        <x:v>2026Q1</x:v>
      </x:c>
      <x:c r="O91" s="23" t="n">
        <x:v>48.3</x:v>
      </x:c>
      <x:c r="P91" s="23" t="n">
        <x:v>13.915094339622636</x:v>
      </x:c>
      <x:c r="Q91" s="23" t="n">
        <x:v>63.77</x:v>
      </x:c>
      <x:c r="R91" s="23" t="n">
        <x:v>20.73</x:v>
      </x:c>
      <x:c r="S91" s="23" t="n">
        <x:v>20.73</x:v>
      </x:c>
      <x:c r="T91" s="23" t="n">
        <x:v>8.882125665368996</x:v>
      </x:c>
      <x:c r="U91" s="23" t="str">
        <x:v>历史加速 8.9ppt / 无forecast不扣分</x:v>
      </x:c>
      <x:c r="V91" s="23"/>
      <x:c r="W91" s="23" t="str">
        <x:v>2026Q2</x:v>
      </x:c>
      <x:c r="X91" s="23" t="str">
        <x:v>NA</x:v>
      </x:c>
      <x:c r="Y91" s="23" t="str">
        <x:v>没有季度级官方 forecast</x:v>
      </x:c>
      <x:c r="Z91" s="23" t="n">
        <x:v>0.25</x:v>
      </x:c>
      <x:c r="AA91" s="23" t="n">
        <x:v>8.529092644561851</x:v>
      </x:c>
      <x:c r="AB91" s="23" t="n">
        <x:v>6.491</x:v>
      </x:c>
      <x:c r="AC91" s="23" t="n">
        <x:v>2.317</x:v>
      </x:c>
      <x:c r="AD91" s="23" t="n">
        <x:v>0.3569557849329842</x:v>
      </x:c>
      <x:c r="AE91" s="23" t="n">
        <x:v>4.174</x:v>
      </x:c>
      <x:c r="AF91" s="23" t="n">
        <x:v>21.6</x:v>
      </x:c>
      <x:c r="AG91" s="23" t="n">
        <x:v>-36.853</x:v>
      </x:c>
      <x:c r="AH91" s="22" t="str">
        <x:v>SEC Companyfacts</x:v>
      </x:c>
      <x:c r="AI91" s="24" t="str">
        <x:v>https://data.sec.gov/api/xbrl/companyfacts/CIK0001506307.json</x:v>
      </x:c>
      <x:c r="AJ91" s="24" t="str">
        <x:v>https://www.sec.gov/Archives/edgar/data/1506307/000150630726000035/0001506307-26-000035-index.html</x:v>
      </x:c>
      <x:c r="AK91" s="24" t="str">
        <x:v>SEC Companyfacts CY2026Q1: revenue $4.828B, gross profit $3.079B (revenue minus CostOfGoodsAndServiceExcludingDepreciationDepletionAndAmortization $1.749B), net income $1.001B</x:v>
      </x:c>
      <x:c r="AL91" s="24" t="str">
        <x:v>美国最大天然气管道, 数据中心燃气发电上游受益.</x:v>
      </x:c>
    </x:row>
    <x:row r="92">
      <x:c r="A92" s="22" t="str">
        <x:v>US</x:v>
      </x:c>
      <x:c r="B92" s="22" t="str">
        <x:v>WMB</x:v>
      </x:c>
      <x:c r="C92" s="22" t="str">
        <x:v>Williams Companies</x:v>
      </x:c>
      <x:c r="D92" s="22" t="str">
        <x:v>power</x:v>
      </x:c>
      <x:c r="E92" s="22" t="str">
        <x:v>天然气管道</x:v>
      </x:c>
      <x:c r="F92" s="22" t="str">
        <x:v>Yes</x:v>
      </x:c>
      <x:c r="G92" s="22" t="str"/>
      <x:c r="H92" s="23" t="n">
        <x:v>6</x:v>
      </x:c>
      <x:c r="I92" s="23" t="n">
        <x:v>800</x:v>
      </x:c>
      <x:c r="J92" s="23" t="n">
        <x:v>1.5</x:v>
      </x:c>
      <x:c r="K92" s="23" t="n">
        <x:v>-1.2039728043259361</x:v>
      </x:c>
      <x:c r="L92" s="23" t="str">
        <x:v>2025Q1</x:v>
      </x:c>
      <x:c r="M92" s="23" t="n">
        <x:v>30.5</x:v>
      </x:c>
      <x:c r="N92" s="23" t="str">
        <x:v>2026Q1</x:v>
      </x:c>
      <x:c r="O92" s="23" t="n">
        <x:v>30.3</x:v>
      </x:c>
      <x:c r="P92" s="23" t="n">
        <x:v>-0.6557377049180357</x:v>
      </x:c>
      <x:c r="Q92" s="23" t="n">
        <x:v>81.58</x:v>
      </x:c>
      <x:c r="R92" s="23" t="n">
        <x:v>30.1</x:v>
      </x:c>
      <x:c r="S92" s="23" t="n">
        <x:v>30.1</x:v>
      </x:c>
      <x:c r="T92" s="23" t="n">
        <x:v>4.046514444631137</x:v>
      </x:c>
      <x:c r="U92" s="23" t="str">
        <x:v>历史加速 4.0ppt / 无forecast不扣分</x:v>
      </x:c>
      <x:c r="V92" s="23"/>
      <x:c r="W92" s="23" t="str">
        <x:v>2026Q2</x:v>
      </x:c>
      <x:c r="X92" s="23" t="str">
        <x:v>NA</x:v>
      </x:c>
      <x:c r="Y92" s="23" t="str">
        <x:v>没有季度级官方 forecast</x:v>
      </x:c>
      <x:c r="Z92" s="23" t="n">
        <x:v>0.25</x:v>
      </x:c>
      <x:c r="AA92" s="23" t="n">
        <x:v>9.210598302506272</x:v>
      </x:c>
      <x:c r="AB92" s="23" t="n">
        <x:v>5.938</x:v>
      </x:c>
      <x:c r="AC92" s="23" t="n">
        <x:v>2.516</x:v>
      </x:c>
      <x:c r="AD92" s="23" t="n">
        <x:v>0.42371168743684745</x:v>
      </x:c>
      <x:c r="AE92" s="23" t="n">
        <x:v>3.422</x:v>
      </x:c>
      <x:c r="AF92" s="23" t="n">
        <x:v>28.23</x:v>
      </x:c>
      <x:c r="AG92" s="23"/>
      <x:c r="AH92" s="22" t="str">
        <x:v>SEC Companyfacts</x:v>
      </x:c>
      <x:c r="AI92" s="24" t="str">
        <x:v>https://data.sec.gov/api/xbrl/companyfacts/CIK0000107263.json</x:v>
      </x:c>
      <x:c r="AJ92" s="24" t="str">
        <x:v>https://www.sec.gov/Archives/edgar/data/107263/000010726326000017/0000107263-26-000017-index.html</x:v>
      </x:c>
      <x:c r="AK92" s="24" t="str">
        <x:v>Williams SEC/IR Q1 2026: total revenues $3.030B, gross profit $2.472B (total revenues minus product costs $0.543B and net processing commodity expenses $0.015B), net income $0.912B</x:v>
      </x:c>
      <x:c r="AL92" s="24" t="str">
        <x:v>天然气运输管道, 与 KMI 共同受益数据中心燃气发电增长.</x:v>
      </x:c>
    </x:row>
    <x:row r="93">
      <x:c r="A93" s="22" t="str">
        <x:v>US</x:v>
      </x:c>
      <x:c r="B93" s="22" t="str">
        <x:v>ORCL</x:v>
      </x:c>
      <x:c r="C93" s="22" t="str">
        <x:v>Oracle</x:v>
      </x:c>
      <x:c r="D93" s="22" t="str">
        <x:v>hyperscaler</x:v>
      </x:c>
      <x:c r="E93" s="22" t="str">
        <x:v>云/数据库</x:v>
      </x:c>
      <x:c r="F93" s="22" t="str">
        <x:v>Yes</x:v>
      </x:c>
      <x:c r="G93" s="22" t="str"/>
      <x:c r="H93" s="23" t="n">
        <x:v>8</x:v>
      </x:c>
      <x:c r="I93" s="23" t="n">
        <x:v>2200</x:v>
      </x:c>
      <x:c r="J93" s="23" t="n">
        <x:v>1.5</x:v>
      </x:c>
      <x:c r="K93" s="23" t="n">
        <x:v>-1.2039728043259361</x:v>
      </x:c>
      <x:c r="L93" s="23" t="str">
        <x:v>2025Q1</x:v>
      </x:c>
      <x:c r="M93" s="23" t="n">
        <x:v>141.3</x:v>
      </x:c>
      <x:c r="N93" s="23" t="str">
        <x:v>2026Q1</x:v>
      </x:c>
      <x:c r="O93" s="23" t="n">
        <x:v>171.9</x:v>
      </x:c>
      <x:c r="P93" s="23" t="n">
        <x:v>21.65605095541401</x:v>
      </x:c>
      <x:c r="Q93" s="23" t="n">
        <x:v>55.8</x:v>
      </x:c>
      <x:c r="R93" s="23" t="n">
        <x:v>21.65</x:v>
      </x:c>
      <x:c r="S93" s="23" t="n">
        <x:v>21.65</x:v>
      </x:c>
      <x:c r="T93" s="23" t="n">
        <x:v>4.089428970197361</x:v>
      </x:c>
      <x:c r="U93" s="23" t="str">
        <x:v>历史加速 4.1ppt / 无forecast不扣分</x:v>
      </x:c>
      <x:c r="V93" s="23"/>
      <x:c r="W93" s="23" t="str">
        <x:v>2026Q2</x:v>
      </x:c>
      <x:c r="X93" s="23" t="str">
        <x:v>NA</x:v>
      </x:c>
      <x:c r="Y93" s="23" t="str">
        <x:v>未找到符合规范的真实公告/guidance/consensus 来源</x:v>
      </x:c>
      <x:c r="Z93" s="23" t="n">
        <x:v>0.1</x:v>
      </x:c>
      <x:c r="AA93" s="23" t="n">
        <x:v>9.115892206278408</x:v>
      </x:c>
      <x:c r="AB93" s="23" t="n">
        <x:v>17.165</x:v>
      </x:c>
      <x:c r="AC93" s="23" t="n">
        <x:v>8.695</x:v>
      </x:c>
      <x:c r="AD93" s="23" t="n">
        <x:v>0.5065540343722692</x:v>
      </x:c>
      <x:c r="AE93" s="23" t="n">
        <x:v>8.47</x:v>
      </x:c>
      <x:c r="AF93" s="23" t="n">
        <x:v>12.32</x:v>
      </x:c>
      <x:c r="AG93" s="23" t="n">
        <x:v>10.786</x:v>
      </x:c>
      <x:c r="AH93" s="22" t="str">
        <x:v>SEC Companyfacts</x:v>
      </x:c>
      <x:c r="AI93" s="24" t="str">
        <x:v>https://data.sec.gov/api/xbrl/companyfacts/CIK0001341439.json</x:v>
      </x:c>
      <x:c r="AJ93" s="24" t="str">
        <x:v>https://www.sec.gov/Archives/edgar/data/1341439/000119312526101045/0001193125-26-101045-index.html</x:v>
      </x:c>
      <x:c r="AK93" s="24" t="str">
        <x:v>Oracle SEC/IR FY2026Q3 business-line table: revenue $17.190B, gross profit/direct margin $9.592B (revenues minus direct business-line expenses $7.598B), net income $3.721B</x:v>
      </x:c>
      <x:c r="AL93" s="24" t="str">
        <x:v>OCI 云服务 + 数据库 + AI 训练 (与 Meta/OpenAI 大单), AI 云第四极.</x:v>
      </x:c>
    </x:row>
    <x:row r="94">
      <x:c r="A94" s="22" t="str">
        <x:v>US</x:v>
      </x:c>
      <x:c r="B94" s="22" t="str">
        <x:v>IREN</x:v>
      </x:c>
      <x:c r="C94" s="22" t="str">
        <x:v>IREN</x:v>
      </x:c>
      <x:c r="D94" s="22" t="str">
        <x:v>hyperscaler</x:v>
      </x:c>
      <x:c r="E94" s="22" t="str">
        <x:v>GPU 云</x:v>
      </x:c>
      <x:c r="F94" s="22" t="str">
        <x:v>Yes</x:v>
      </x:c>
      <x:c r="G94" s="22" t="str"/>
      <x:c r="H94" s="23" t="n">
        <x:v>7</x:v>
      </x:c>
      <x:c r="I94" s="23" t="n">
        <x:v>130</x:v>
      </x:c>
      <x:c r="J94" s="23" t="n">
        <x:v>8</x:v>
      </x:c>
      <x:c r="K94" s="23" t="n">
        <x:v>-0.4700036292457356</x:v>
      </x:c>
      <x:c r="L94" s="23" t="str">
        <x:v>2025Q1</x:v>
      </x:c>
      <x:c r="M94" s="23" t="n">
        <x:v>1.4</x:v>
      </x:c>
      <x:c r="N94" s="23" t="str">
        <x:v>2026Q1</x:v>
      </x:c>
      <x:c r="O94" s="23" t="n">
        <x:v>1.4</x:v>
      </x:c>
      <x:c r="P94" s="23" t="n">
        <x:v>0</x:v>
      </x:c>
      <x:c r="Q94" s="23" t="n">
        <x:v>72.42</x:v>
      </x:c>
      <x:c r="R94" s="23" t="n">
        <x:v>-171.16</x:v>
      </x:c>
      <x:c r="S94" s="23" t="n">
        <x:v>-30</x:v>
      </x:c>
      <x:c r="T94" s="23" t="n">
        <x:v>51.388888888888886</x:v>
      </x:c>
      <x:c r="U94" s="23" t="str">
        <x:v>历史加速 51.4ppt / 无forecast不扣分</x:v>
      </x:c>
      <x:c r="V94" s="23"/>
      <x:c r="W94" s="23" t="str">
        <x:v>2026Q2</x:v>
      </x:c>
      <x:c r="X94" s="23" t="str">
        <x:v>NA</x:v>
      </x:c>
      <x:c r="Y94" s="23" t="str">
        <x:v>IREN Q3 FY2026 business update and results</x:v>
      </x:c>
      <x:c r="Z94" s="23" t="n">
        <x:v>0.1</x:v>
      </x:c>
      <x:c r="AA94" s="23" t="n">
        <x:v>3.291534450455582</x:v>
      </x:c>
      <x:c r="AB94" s="23" t="n">
        <x:v>0.006</x:v>
      </x:c>
      <x:c r="AC94" s="23" t="n">
        <x:v>0.116</x:v>
      </x:c>
      <x:c r="AD94" s="23" t="n">
        <x:v>19.333333333333332</x:v>
      </x:c>
      <x:c r="AE94" s="23" t="n">
        <x:v>-0.11</x:v>
      </x:c>
      <x:c r="AF94" s="23" t="n">
        <x:v>-19.7</x:v>
      </x:c>
      <x:c r="AG94" s="23"/>
      <x:c r="AH94" s="22" t="str">
        <x:v>SEC Companyfacts</x:v>
      </x:c>
      <x:c r="AI94" s="24" t="str">
        <x:v>https://data.sec.gov/api/xbrl/companyfacts/CIK0001878848.json</x:v>
      </x:c>
      <x:c r="AJ94" s="24" t="str">
        <x:v>https://www.sec.gov/Archives/edgar/data/1878848/000187884826000026/0001878848-26-000026-index.html</x:v>
      </x:c>
      <x:c r="AK94" s="24" t="str">
        <x:v>SEC Companyfacts CY2026Q1: revenue $0.145B, gross profit $0.105B (revenue minus CostOfRevenue $0.040B), net income $-0.248B</x:v>
      </x:c>
      <x:c r="AL94" s="24" t="str">
        <x:v>矿转 AI 数据中心运营商 (类 CoreWeave), 已与 NVDA 签 5GW 部署协议.</x:v>
      </x:c>
    </x:row>
    <x:row r="95">
      <x:c r="A95" s="22" t="str">
        <x:v>US</x:v>
      </x:c>
      <x:c r="B95" s="22" t="str">
        <x:v>PLTR</x:v>
      </x:c>
      <x:c r="C95" s="22" t="str">
        <x:v>Palantir</x:v>
      </x:c>
      <x:c r="D95" s="22" t="str">
        <x:v>hyperscaler</x:v>
      </x:c>
      <x:c r="E95" s="22" t="str">
        <x:v>AI 平台</x:v>
      </x:c>
      <x:c r="F95" s="22" t="str">
        <x:v>Yes</x:v>
      </x:c>
      <x:c r="G95" s="22" t="str"/>
      <x:c r="H95" s="23" t="n">
        <x:v>8</x:v>
      </x:c>
      <x:c r="I95" s="23" t="n">
        <x:v>4500</x:v>
      </x:c>
      <x:c r="J95" s="23" t="n">
        <x:v>4</x:v>
      </x:c>
      <x:c r="K95" s="23" t="n">
        <x:v>-0.2231435513142097</x:v>
      </x:c>
      <x:c r="L95" s="23" t="str">
        <x:v>2025Q1</x:v>
      </x:c>
      <x:c r="M95" s="23" t="n">
        <x:v>8.8</x:v>
      </x:c>
      <x:c r="N95" s="23" t="str">
        <x:v>2026Q1</x:v>
      </x:c>
      <x:c r="O95" s="23" t="n">
        <x:v>16.3</x:v>
      </x:c>
      <x:c r="P95" s="23" t="n">
        <x:v>85.22727272727273</x:v>
      </x:c>
      <x:c r="Q95" s="23" t="n">
        <x:v>86.78</x:v>
      </x:c>
      <x:c r="R95" s="23" t="n">
        <x:v>53.32</x:v>
      </x:c>
      <x:c r="S95" s="23" t="n">
        <x:v>53.32</x:v>
      </x:c>
      <x:c r="T95" s="23" t="n">
        <x:v>-0.9250204562667714</x:v>
      </x:c>
      <x:c r="U95" s="23" t="str">
        <x:v>历史加速 1.7ppt / 前瞻 -7.1ppt</x:v>
      </x:c>
      <x:c r="V95" s="23" t="n">
        <x:v>18</x:v>
      </x:c>
      <x:c r="W95" s="23" t="str">
        <x:v>2026Q2</x:v>
      </x:c>
      <x:c r="X95" s="23" t="str">
        <x:v>F</x:v>
      </x:c>
      <x:c r="Y95" s="23" t="str">
        <x:v>Palantir official Q1 2026 results / SEC exhibit 99.1</x:v>
      </x:c>
      <x:c r="Z95" s="23" t="n">
        <x:v>0.1</x:v>
      </x:c>
      <x:c r="AA95" s="23" t="n">
        <x:v>9.362227833283788</x:v>
      </x:c>
      <x:c r="AB95" s="23" t="n">
        <x:v>0.712</x:v>
      </x:c>
      <x:c r="AC95" s="23" t="n">
        <x:v>0.015</x:v>
      </x:c>
      <x:c r="AD95" s="23" t="n">
        <x:v>0.021067415730337078</x:v>
      </x:c>
      <x:c r="AE95" s="23" t="n">
        <x:v>0.697</x:v>
      </x:c>
      <x:c r="AF95" s="23" t="n">
        <x:v>10.69</x:v>
      </x:c>
      <x:c r="AG95" s="23"/>
      <x:c r="AH95" s="22" t="str">
        <x:v>SEC Companyfacts</x:v>
      </x:c>
      <x:c r="AI95" s="24" t="str">
        <x:v>https://data.sec.gov/api/xbrl/companyfacts/CIK0001321655.json</x:v>
      </x:c>
      <x:c r="AJ95" s="24" t="str">
        <x:v>https://www.sec.gov/Archives/edgar/data/1321655/000132165526000028/0001321655-26-000028-index.html</x:v>
      </x:c>
      <x:c r="AK95" s="24" t="str">
        <x:v>SEC Companyfacts CY2026Q1: revenue $1.633B, gross profit $1.417B, net income $0.871B</x:v>
      </x:c>
      <x:c r="AL95" s="24" t="str">
        <x:v>AIP (AI 平台) 政企双线 (DoD/Foundry), AI 商业化最快变现案例.</x:v>
      </x:c>
    </x:row>
    <x:row r="96">
      <x:c r="A96" s="22" t="str">
        <x:v>US</x:v>
      </x:c>
      <x:c r="B96" s="22" t="str">
        <x:v>NOW</x:v>
      </x:c>
      <x:c r="C96" s="22" t="str">
        <x:v>ServiceNow</x:v>
      </x:c>
      <x:c r="D96" s="22" t="str">
        <x:v>hyperscaler</x:v>
      </x:c>
      <x:c r="E96" s="22" t="str">
        <x:v>AI 工作流</x:v>
      </x:c>
      <x:c r="F96" s="22" t="str">
        <x:v>Yes</x:v>
      </x:c>
      <x:c r="G96" s="22" t="str"/>
      <x:c r="H96" s="23" t="n">
        <x:v>7</x:v>
      </x:c>
      <x:c r="I96" s="23" t="n">
        <x:v>2200</x:v>
      </x:c>
      <x:c r="J96" s="23" t="n">
        <x:v>1.5</x:v>
      </x:c>
      <x:c r="K96" s="23" t="n">
        <x:v>-1.2039728043259361</x:v>
      </x:c>
      <x:c r="L96" s="23" t="str">
        <x:v>2025Q1</x:v>
      </x:c>
      <x:c r="M96" s="23" t="n">
        <x:v>30.9</x:v>
      </x:c>
      <x:c r="N96" s="23" t="str">
        <x:v>2026Q1</x:v>
      </x:c>
      <x:c r="O96" s="23" t="n">
        <x:v>37.7</x:v>
      </x:c>
      <x:c r="P96" s="23" t="n">
        <x:v>22.006472491909392</x:v>
      </x:c>
      <x:c r="Q96" s="23" t="n">
        <x:v>75.07</x:v>
      </x:c>
      <x:c r="R96" s="23" t="n">
        <x:v>12.44</x:v>
      </x:c>
      <x:c r="S96" s="23" t="n">
        <x:v>12.44</x:v>
      </x:c>
      <x:c r="T96" s="23" t="n">
        <x:v>-1.1030599727865975</x:v>
      </x:c>
      <x:c r="U96" s="23" t="str">
        <x:v>历史加速 0.1ppt / 前瞻 -3.9ppt</x:v>
      </x:c>
      <x:c r="V96" s="23" t="n">
        <x:v>38.175</x:v>
      </x:c>
      <x:c r="W96" s="23" t="str">
        <x:v>2026Q2</x:v>
      </x:c>
      <x:c r="X96" s="23" t="str">
        <x:v>F</x:v>
      </x:c>
      <x:c r="Y96" s="23" t="str">
        <x:v>ServiceNow official Q1 2026 results</x:v>
      </x:c>
      <x:c r="Z96" s="23" t="n">
        <x:v>0.1</x:v>
      </x:c>
      <x:c r="AA96" s="23" t="n">
        <x:v>9.366307036367514</x:v>
      </x:c>
      <x:c r="AB96" s="23" t="n">
        <x:v>3.398</x:v>
      </x:c>
      <x:c r="AC96" s="23" t="n">
        <x:v>0.694</x:v>
      </x:c>
      <x:c r="AD96" s="23" t="n">
        <x:v>0.20423778693349026</x:v>
      </x:c>
      <x:c r="AE96" s="23" t="n">
        <x:v>2.704</x:v>
      </x:c>
      <x:c r="AF96" s="23" t="n">
        <x:v>17.93</x:v>
      </x:c>
      <x:c r="AG96" s="23"/>
      <x:c r="AH96" s="22" t="str">
        <x:v>SEC Companyfacts</x:v>
      </x:c>
      <x:c r="AI96" s="24" t="str">
        <x:v>https://data.sec.gov/api/xbrl/companyfacts/CIK0001373715.json</x:v>
      </x:c>
      <x:c r="AJ96" s="24" t="str">
        <x:v>https://www.sec.gov/Archives/edgar/data/1373715/000137371526000056/0001373715-26-000056-index.html</x:v>
      </x:c>
      <x:c r="AK96" s="24" t="str">
        <x:v>SEC Companyfacts CY2026Q1: revenue $3.770B, gross profit $2.830B, net income $0.469B</x:v>
      </x:c>
      <x:c r="AL96" s="24" t="str">
        <x:v>企业 AI 工作流平台 (Now Assist), 大企业 AI 部署核心承接者.</x:v>
      </x:c>
    </x:row>
    <x:row r="97">
      <x:c r="A97" s="22" t="str">
        <x:v>US</x:v>
      </x:c>
      <x:c r="B97" s="22" t="str">
        <x:v>CRM</x:v>
      </x:c>
      <x:c r="C97" s="22" t="str">
        <x:v>Salesforce</x:v>
      </x:c>
      <x:c r="D97" s="22" t="str">
        <x:v>hyperscaler</x:v>
      </x:c>
      <x:c r="E97" s="22" t="str">
        <x:v>AI CRM</x:v>
      </x:c>
      <x:c r="F97" s="22" t="str">
        <x:v>Yes</x:v>
      </x:c>
      <x:c r="G97" s="22" t="str"/>
      <x:c r="H97" s="23" t="n">
        <x:v>6</x:v>
      </x:c>
      <x:c r="I97" s="23" t="n">
        <x:v>2500</x:v>
      </x:c>
      <x:c r="J97" s="23" t="n">
        <x:v>1.5</x:v>
      </x:c>
      <x:c r="K97" s="23" t="n">
        <x:v>-1.2039728043259361</x:v>
      </x:c>
      <x:c r="L97" s="23" t="str">
        <x:v>2025Q1</x:v>
      </x:c>
      <x:c r="M97" s="23" t="n">
        <x:v>98.3</x:v>
      </x:c>
      <x:c r="N97" s="23" t="str">
        <x:v>2026Q1</x:v>
      </x:c>
      <x:c r="O97" s="23" t="n">
        <x:v>111.3</x:v>
      </x:c>
      <x:c r="P97" s="23" t="n">
        <x:v>13.224821973550348</x:v>
      </x:c>
      <x:c r="Q97" s="23" t="n">
        <x:v>76.92</x:v>
      </x:c>
      <x:c r="R97" s="23" t="n">
        <x:v>18.93</x:v>
      </x:c>
      <x:c r="S97" s="23" t="n">
        <x:v>18.93</x:v>
      </x:c>
      <x:c r="T97" s="23" t="n">
        <x:v>0.6529053728245079</x:v>
      </x:c>
      <x:c r="U97" s="23" t="str">
        <x:v>历史加速 2.1ppt / 前瞻 -2.6ppt</x:v>
      </x:c>
      <x:c r="V97" s="23" t="n">
        <x:v>113.1</x:v>
      </x:c>
      <x:c r="W97" s="23" t="str">
        <x:v>2026Q2</x:v>
      </x:c>
      <x:c r="X97" s="23" t="str">
        <x:v>F</x:v>
      </x:c>
      <x:c r="Y97" s="23" t="str">
        <x:v>Salesforce official Q1 FY2027 results</x:v>
      </x:c>
      <x:c r="Z97" s="23" t="n">
        <x:v>0.1</x:v>
      </x:c>
      <x:c r="AA97" s="23" t="n">
        <x:v>9.93659046816571</x:v>
      </x:c>
      <x:c r="AB97" s="23" t="n">
        <x:v>10.234</x:v>
      </x:c>
      <x:c r="AC97" s="23" t="n">
        <x:v>0.736</x:v>
      </x:c>
      <x:c r="AD97" s="23" t="n">
        <x:v>0.0719171389486027</x:v>
      </x:c>
      <x:c r="AE97" s="23" t="n">
        <x:v>9.498</x:v>
      </x:c>
      <x:c r="AF97" s="23" t="n">
        <x:v>21.33</x:v>
      </x:c>
      <x:c r="AG97" s="23" t="n">
        <x:v>-7.112</x:v>
      </x:c>
      <x:c r="AH97" s="22" t="str">
        <x:v>SEC Companyfacts</x:v>
      </x:c>
      <x:c r="AI97" s="24" t="str">
        <x:v>https://data.sec.gov/api/xbrl/companyfacts/CIK0001108524.json</x:v>
      </x:c>
      <x:c r="AJ97" s="24" t="str">
        <x:v>https://www.sec.gov/Archives/edgar/data/1108524/000110852426000127/0001108524-26-000127-index.html</x:v>
      </x:c>
      <x:c r="AK97" s="24" t="str">
        <x:v>SEC Companyfacts CY2026Q1: revenue $11.133B, gross profit $8.563B, net income $2.107B</x:v>
      </x:c>
      <x:c r="AL97" s="24" t="str">
        <x:v>CRM 巨头 + Agentforce AI 代理, 应用层 AI 变现.</x:v>
      </x:c>
    </x:row>
    <x:row r="98">
      <x:c r="A98" s="22" t="str">
        <x:v>US</x:v>
      </x:c>
      <x:c r="B98" s="22" t="str">
        <x:v>RKLB</x:v>
      </x:c>
      <x:c r="C98" s="22" t="str">
        <x:v>Rocket Lab</x:v>
      </x:c>
      <x:c r="D98" s="22" t="str">
        <x:v>other</x:v>
      </x:c>
      <x:c r="E98" s="22" t="str">
        <x:v>航天运载</x:v>
      </x:c>
      <x:c r="F98" s="22" t="str">
        <x:v>Yes</x:v>
      </x:c>
      <x:c r="G98" s="22" t="str"/>
      <x:c r="H98" s="23" t="n">
        <x:v>7</x:v>
      </x:c>
      <x:c r="I98" s="23" t="n">
        <x:v>722</x:v>
      </x:c>
      <x:c r="J98" s="23" t="n">
        <x:v>6</x:v>
      </x:c>
      <x:c r="K98" s="23" t="n">
        <x:v>-0.1823215567939546</x:v>
      </x:c>
      <x:c r="L98" s="23" t="str">
        <x:v>2025Q1</x:v>
      </x:c>
      <x:c r="M98" s="23" t="n">
        <x:v>1.2</x:v>
      </x:c>
      <x:c r="N98" s="23" t="str">
        <x:v>2026Q1</x:v>
      </x:c>
      <x:c r="O98" s="23" t="n">
        <x:v>2</x:v>
      </x:c>
      <x:c r="P98" s="23" t="n">
        <x:v>66.66666666666667</x:v>
      </x:c>
      <x:c r="Q98" s="23" t="n">
        <x:v>38.2</x:v>
      </x:c>
      <x:c r="R98" s="23" t="n">
        <x:v>-22.5</x:v>
      </x:c>
      <x:c r="S98" s="23" t="n">
        <x:v>-22.5</x:v>
      </x:c>
      <x:c r="T98" s="23" t="n">
        <x:v>-1.2361111111111167</x:v>
      </x:c>
      <x:c r="U98" s="23" t="str">
        <x:v>历史加速 -3.7ppt / 前瞻 4.4ppt</x:v>
      </x:c>
      <x:c r="V98" s="23" t="n">
        <x:v>2.325</x:v>
      </x:c>
      <x:c r="W98" s="23" t="str">
        <x:v>2026Q2</x:v>
      </x:c>
      <x:c r="X98" s="23" t="str">
        <x:v>F</x:v>
      </x:c>
      <x:c r="Y98" s="23" t="str">
        <x:v>Rocket Lab official Q1 2026 results / 8-K exhibit</x:v>
      </x:c>
      <x:c r="Z98" s="23" t="n">
        <x:v>0.2</x:v>
      </x:c>
      <x:c r="AA98" s="23" t="n">
        <x:v>5.0516428674246825</x:v>
      </x:c>
      <x:c r="AB98" s="23" t="n">
        <x:v>-0.099</x:v>
      </x:c>
      <x:c r="AC98" s="23" t="n">
        <x:v>0.055</x:v>
      </x:c>
      <x:c r="AD98" s="23"/>
      <x:c r="AE98" s="23" t="n">
        <x:v>-0.154</x:v>
      </x:c>
      <x:c r="AF98" s="23" t="n">
        <x:v>-19.2</x:v>
      </x:c>
      <x:c r="AG98" s="23" t="n">
        <x:v>0.676</x:v>
      </x:c>
      <x:c r="AH98" s="22" t="str">
        <x:v>SEC Companyfacts</x:v>
      </x:c>
      <x:c r="AI98" s="24" t="str">
        <x:v>https://data.sec.gov/api/xbrl/companyfacts/CIK0001819994.json</x:v>
      </x:c>
      <x:c r="AJ98" s="24" t="str">
        <x:v>https://investors.rocketlabcorp.com/news-releases/news-release-details/rocket-lab-announces-first-quarter-2026-financial-results</x:v>
      </x:c>
      <x:c r="AK98" s="24" t="str"/>
      <x:c r="AL98" s="24" t="str">
        <x:v>全球最活跃商业小型运载火箭公司, Electron火箭领先. 空间系统(卫星制造)高增速, Neutron中型火箭在研. AI驱动国防/商业卫星需求受益, 2026Q1营收创历史新高$2亿.</x:v>
      </x:c>
    </x:row>
  </x:sheetData>
  <x:mergeCells>
    <x:mergeCell ref="A1:H1"/>
    <x:mergeCell ref="A2:H2"/>
  </x:mergeCells>
  <x:pageMargins left="0.7" right="0.7" top="0.75" bottom="0.75" header="0.3" footer="0.3"/>
</x:worksheet>
</file>